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filterPrivacy="1" codeName="ThisWorkbook" defaultThemeVersion="202300"/>
  <xr:revisionPtr revIDLastSave="1086" documentId="8_{93599CAF-30FC-4B50-9432-77C07EDFDEEF}" xr6:coauthVersionLast="47" xr6:coauthVersionMax="47" xr10:uidLastSave="{A0D836E5-8320-4D29-9F1D-6A83D8E3A11A}"/>
  <bookViews>
    <workbookView xWindow="28680" yWindow="-120" windowWidth="19440" windowHeight="14880" xr2:uid="{8F22BCAA-A6CF-4278-88ED-03CA18541DFF}"/>
  </bookViews>
  <sheets>
    <sheet name="CSV Export" sheetId="12" r:id="rId1"/>
    <sheet name="Cleaning steps" sheetId="11" r:id="rId2"/>
    <sheet name="Pass 2" sheetId="10" r:id="rId3"/>
    <sheet name="Pass 1" sheetId="1" r:id="rId4"/>
    <sheet name="Bard Spells" sheetId="2" r:id="rId5"/>
    <sheet name="Cleric Spells" sheetId="3" r:id="rId6"/>
    <sheet name="Druid Spells" sheetId="4" r:id="rId7"/>
    <sheet name="Paladin Spells" sheetId="5" r:id="rId8"/>
    <sheet name="Ranger Spells" sheetId="6" r:id="rId9"/>
    <sheet name="Sorcerer Spells" sheetId="7" r:id="rId10"/>
    <sheet name="Warlock Spells" sheetId="8" r:id="rId11"/>
    <sheet name="Wizard Spells" sheetId="9" r:id="rId12"/>
  </sheets>
  <definedNames>
    <definedName name="_xlnm._FilterDatabase" localSheetId="1" hidden="1">'Cleaning steps'!$A$1:$C$1</definedName>
    <definedName name="_xlnm._FilterDatabase" localSheetId="3" hidden="1">'Pass 1'!$A$1:$F$388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2" i="11"/>
  <c r="C2" i="10"/>
  <c r="C3" i="10"/>
  <c r="E2" i="10"/>
  <c r="F2" i="10"/>
  <c r="G2" i="10"/>
  <c r="B2" i="10" s="1"/>
  <c r="E3" i="10"/>
  <c r="F3" i="10"/>
  <c r="G3" i="10"/>
  <c r="B3" i="10" s="1"/>
  <c r="G1" i="10"/>
  <c r="B1" i="10" s="1"/>
  <c r="F1" i="10"/>
  <c r="E1" i="10"/>
  <c r="C1" i="10" s="1"/>
  <c r="B1" i="3"/>
  <c r="B1" i="4"/>
  <c r="B1" i="5"/>
  <c r="B1" i="6"/>
  <c r="B1" i="7"/>
  <c r="B1" i="8"/>
  <c r="B1" i="9"/>
  <c r="B1" i="2"/>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18" i="4"/>
  <c r="B119" i="4"/>
  <c r="B120" i="4"/>
  <c r="B121" i="4"/>
  <c r="B122" i="4"/>
  <c r="B123" i="4"/>
  <c r="B124" i="4"/>
  <c r="B125" i="4"/>
  <c r="B126" i="4"/>
  <c r="B127" i="4"/>
  <c r="B128" i="4"/>
  <c r="B129" i="4"/>
  <c r="B130" i="4"/>
  <c r="B131" i="4"/>
  <c r="B132" i="4"/>
  <c r="B133" i="4"/>
  <c r="B134" i="4"/>
  <c r="B135" i="4"/>
  <c r="G2" i="1"/>
  <c r="B2" i="1" s="1"/>
  <c r="G3" i="1"/>
  <c r="B3" i="1" s="1"/>
  <c r="G4" i="1"/>
  <c r="B4" i="1" s="1"/>
  <c r="G5" i="1"/>
  <c r="B5" i="1" s="1"/>
  <c r="G6" i="1"/>
  <c r="B6" i="1" s="1"/>
  <c r="G7" i="1"/>
  <c r="B7" i="1" s="1"/>
  <c r="G8" i="1"/>
  <c r="B8" i="1" s="1"/>
  <c r="G9" i="1"/>
  <c r="B9" i="1" s="1"/>
  <c r="G10" i="1"/>
  <c r="B10" i="1" s="1"/>
  <c r="G11" i="1"/>
  <c r="B11" i="1" s="1"/>
  <c r="G12" i="1"/>
  <c r="B12" i="1" s="1"/>
  <c r="G13" i="1"/>
  <c r="B13" i="1" s="1"/>
  <c r="G14" i="1"/>
  <c r="B14" i="1" s="1"/>
  <c r="G15" i="1"/>
  <c r="B15" i="1" s="1"/>
  <c r="G16" i="1"/>
  <c r="B16" i="1" s="1"/>
  <c r="G17" i="1"/>
  <c r="B17" i="1" s="1"/>
  <c r="G18" i="1"/>
  <c r="B18" i="1" s="1"/>
  <c r="G19" i="1"/>
  <c r="B19" i="1" s="1"/>
  <c r="G20" i="1"/>
  <c r="B20" i="1" s="1"/>
  <c r="G21" i="1"/>
  <c r="B21" i="1" s="1"/>
  <c r="G22" i="1"/>
  <c r="B22" i="1" s="1"/>
  <c r="G23" i="1"/>
  <c r="B23" i="1" s="1"/>
  <c r="G24" i="1"/>
  <c r="B24" i="1" s="1"/>
  <c r="G25" i="1"/>
  <c r="B25" i="1" s="1"/>
  <c r="G26" i="1"/>
  <c r="B26" i="1" s="1"/>
  <c r="G27" i="1"/>
  <c r="B27" i="1" s="1"/>
  <c r="G28" i="1"/>
  <c r="B28" i="1" s="1"/>
  <c r="G29" i="1"/>
  <c r="B29" i="1" s="1"/>
  <c r="G30" i="1"/>
  <c r="B30" i="1" s="1"/>
  <c r="G31" i="1"/>
  <c r="B31" i="1" s="1"/>
  <c r="G32" i="1"/>
  <c r="B32" i="1" s="1"/>
  <c r="G33" i="1"/>
  <c r="B33" i="1" s="1"/>
  <c r="G34" i="1"/>
  <c r="B34" i="1" s="1"/>
  <c r="G35" i="1"/>
  <c r="B35" i="1" s="1"/>
  <c r="G36" i="1"/>
  <c r="B36" i="1" s="1"/>
  <c r="G37" i="1"/>
  <c r="B37" i="1" s="1"/>
  <c r="G38" i="1"/>
  <c r="B38" i="1" s="1"/>
  <c r="G39" i="1"/>
  <c r="B39" i="1" s="1"/>
  <c r="G40" i="1"/>
  <c r="B40" i="1" s="1"/>
  <c r="G41" i="1"/>
  <c r="B41" i="1" s="1"/>
  <c r="G42" i="1"/>
  <c r="B42" i="1" s="1"/>
  <c r="G43" i="1"/>
  <c r="B43" i="1" s="1"/>
  <c r="G44" i="1"/>
  <c r="B44" i="1" s="1"/>
  <c r="G45" i="1"/>
  <c r="B45" i="1" s="1"/>
  <c r="G46" i="1"/>
  <c r="B46" i="1" s="1"/>
  <c r="G47" i="1"/>
  <c r="B47" i="1" s="1"/>
  <c r="G48" i="1"/>
  <c r="B48" i="1" s="1"/>
  <c r="G49" i="1"/>
  <c r="B49" i="1" s="1"/>
  <c r="G50" i="1"/>
  <c r="B50" i="1" s="1"/>
  <c r="G51" i="1"/>
  <c r="B51" i="1" s="1"/>
  <c r="G52" i="1"/>
  <c r="B52" i="1" s="1"/>
  <c r="G53" i="1"/>
  <c r="B53" i="1" s="1"/>
  <c r="G54" i="1"/>
  <c r="B54" i="1" s="1"/>
  <c r="G55" i="1"/>
  <c r="B55" i="1" s="1"/>
  <c r="G56" i="1"/>
  <c r="B56" i="1" s="1"/>
  <c r="G57" i="1"/>
  <c r="B57" i="1" s="1"/>
  <c r="G58" i="1"/>
  <c r="B58" i="1" s="1"/>
  <c r="G59" i="1"/>
  <c r="B59" i="1" s="1"/>
  <c r="G60" i="1"/>
  <c r="B60" i="1" s="1"/>
  <c r="G61" i="1"/>
  <c r="B61" i="1" s="1"/>
  <c r="G62" i="1"/>
  <c r="B62" i="1" s="1"/>
  <c r="G63" i="1"/>
  <c r="B63" i="1" s="1"/>
  <c r="G64" i="1"/>
  <c r="B64" i="1" s="1"/>
  <c r="G65" i="1"/>
  <c r="B65" i="1" s="1"/>
  <c r="G66" i="1"/>
  <c r="B66" i="1" s="1"/>
  <c r="G67" i="1"/>
  <c r="B67" i="1" s="1"/>
  <c r="G68" i="1"/>
  <c r="B68" i="1" s="1"/>
  <c r="G69" i="1"/>
  <c r="B69" i="1" s="1"/>
  <c r="G70" i="1"/>
  <c r="B70" i="1" s="1"/>
  <c r="G71" i="1"/>
  <c r="B71" i="1" s="1"/>
  <c r="G72" i="1"/>
  <c r="B72" i="1" s="1"/>
  <c r="G73" i="1"/>
  <c r="B73" i="1" s="1"/>
  <c r="G74" i="1"/>
  <c r="B74" i="1" s="1"/>
  <c r="G75" i="1"/>
  <c r="B75" i="1" s="1"/>
  <c r="G76" i="1"/>
  <c r="B76" i="1" s="1"/>
  <c r="G77" i="1"/>
  <c r="B77" i="1" s="1"/>
  <c r="G78" i="1"/>
  <c r="B78" i="1" s="1"/>
  <c r="G79" i="1"/>
  <c r="B79" i="1" s="1"/>
  <c r="G80" i="1"/>
  <c r="B80" i="1" s="1"/>
  <c r="G81" i="1"/>
  <c r="B81" i="1" s="1"/>
  <c r="G82" i="1"/>
  <c r="B82" i="1" s="1"/>
  <c r="G83" i="1"/>
  <c r="B83" i="1" s="1"/>
  <c r="G84" i="1"/>
  <c r="B84" i="1" s="1"/>
  <c r="G85" i="1"/>
  <c r="B85" i="1" s="1"/>
  <c r="G86" i="1"/>
  <c r="B86" i="1" s="1"/>
  <c r="G87" i="1"/>
  <c r="B87" i="1" s="1"/>
  <c r="G88" i="1"/>
  <c r="B88" i="1" s="1"/>
  <c r="G89" i="1"/>
  <c r="B89" i="1" s="1"/>
  <c r="G90" i="1"/>
  <c r="B90" i="1" s="1"/>
  <c r="G91" i="1"/>
  <c r="B91" i="1" s="1"/>
  <c r="G92" i="1"/>
  <c r="B92" i="1" s="1"/>
  <c r="G93" i="1"/>
  <c r="B93" i="1" s="1"/>
  <c r="G94" i="1"/>
  <c r="B94" i="1" s="1"/>
  <c r="G95" i="1"/>
  <c r="B95" i="1" s="1"/>
  <c r="G96" i="1"/>
  <c r="B96" i="1" s="1"/>
  <c r="G97" i="1"/>
  <c r="B97" i="1" s="1"/>
  <c r="G98" i="1"/>
  <c r="B98" i="1" s="1"/>
  <c r="G99" i="1"/>
  <c r="B99" i="1" s="1"/>
  <c r="G100" i="1"/>
  <c r="B100" i="1" s="1"/>
  <c r="G101" i="1"/>
  <c r="B101" i="1" s="1"/>
  <c r="G102" i="1"/>
  <c r="B102" i="1" s="1"/>
  <c r="G103" i="1"/>
  <c r="B103" i="1" s="1"/>
  <c r="G104" i="1"/>
  <c r="B104" i="1" s="1"/>
  <c r="G105" i="1"/>
  <c r="B105" i="1" s="1"/>
  <c r="G106" i="1"/>
  <c r="B106" i="1" s="1"/>
  <c r="G107" i="1"/>
  <c r="B107" i="1" s="1"/>
  <c r="G108" i="1"/>
  <c r="B108" i="1" s="1"/>
  <c r="G109" i="1"/>
  <c r="B109" i="1" s="1"/>
  <c r="G110" i="1"/>
  <c r="B110" i="1" s="1"/>
  <c r="G111" i="1"/>
  <c r="B111" i="1" s="1"/>
  <c r="G112" i="1"/>
  <c r="B112" i="1" s="1"/>
  <c r="G113" i="1"/>
  <c r="B113" i="1" s="1"/>
  <c r="G114" i="1"/>
  <c r="B114" i="1" s="1"/>
  <c r="G115" i="1"/>
  <c r="B115" i="1" s="1"/>
  <c r="G116" i="1"/>
  <c r="B116" i="1" s="1"/>
  <c r="G117" i="1"/>
  <c r="B117" i="1" s="1"/>
  <c r="G118" i="1"/>
  <c r="B118" i="1" s="1"/>
  <c r="G119" i="1"/>
  <c r="B119" i="1" s="1"/>
  <c r="G120" i="1"/>
  <c r="B120" i="1" s="1"/>
  <c r="G121" i="1"/>
  <c r="B121" i="1" s="1"/>
  <c r="G122" i="1"/>
  <c r="B122" i="1" s="1"/>
  <c r="G123" i="1"/>
  <c r="B123" i="1" s="1"/>
  <c r="G124" i="1"/>
  <c r="B124" i="1" s="1"/>
  <c r="G125" i="1"/>
  <c r="B125" i="1" s="1"/>
  <c r="G126" i="1"/>
  <c r="B126" i="1" s="1"/>
  <c r="G127" i="1"/>
  <c r="B127" i="1" s="1"/>
  <c r="G128" i="1"/>
  <c r="B128" i="1" s="1"/>
  <c r="G129" i="1"/>
  <c r="B129" i="1" s="1"/>
  <c r="G130" i="1"/>
  <c r="B130" i="1" s="1"/>
  <c r="G131" i="1"/>
  <c r="B131" i="1" s="1"/>
  <c r="G132" i="1"/>
  <c r="B132" i="1" s="1"/>
  <c r="G133" i="1"/>
  <c r="B133" i="1" s="1"/>
  <c r="G134" i="1"/>
  <c r="B134" i="1" s="1"/>
  <c r="G135" i="1"/>
  <c r="B135" i="1" s="1"/>
  <c r="G136" i="1"/>
  <c r="B136" i="1" s="1"/>
  <c r="G137" i="1"/>
  <c r="B137" i="1" s="1"/>
  <c r="G138" i="1"/>
  <c r="B138" i="1" s="1"/>
  <c r="G139" i="1"/>
  <c r="B139" i="1" s="1"/>
  <c r="G140" i="1"/>
  <c r="B140" i="1" s="1"/>
  <c r="G141" i="1"/>
  <c r="B141" i="1" s="1"/>
  <c r="G142" i="1"/>
  <c r="B142" i="1" s="1"/>
  <c r="G143" i="1"/>
  <c r="B143" i="1" s="1"/>
  <c r="G144" i="1"/>
  <c r="B144" i="1" s="1"/>
  <c r="G145" i="1"/>
  <c r="B145" i="1" s="1"/>
  <c r="G146" i="1"/>
  <c r="B146" i="1" s="1"/>
  <c r="G147" i="1"/>
  <c r="B147" i="1" s="1"/>
  <c r="G148" i="1"/>
  <c r="B148" i="1" s="1"/>
  <c r="G149" i="1"/>
  <c r="B149" i="1" s="1"/>
  <c r="G150" i="1"/>
  <c r="B150" i="1" s="1"/>
  <c r="G151" i="1"/>
  <c r="B151" i="1" s="1"/>
  <c r="G152" i="1"/>
  <c r="B152" i="1" s="1"/>
  <c r="G153" i="1"/>
  <c r="B153" i="1" s="1"/>
  <c r="G154" i="1"/>
  <c r="B154" i="1" s="1"/>
  <c r="G155" i="1"/>
  <c r="B155" i="1" s="1"/>
  <c r="G156" i="1"/>
  <c r="B156" i="1" s="1"/>
  <c r="G157" i="1"/>
  <c r="B157" i="1" s="1"/>
  <c r="G158" i="1"/>
  <c r="B158" i="1" s="1"/>
  <c r="G159" i="1"/>
  <c r="B159" i="1" s="1"/>
  <c r="G160" i="1"/>
  <c r="B160" i="1" s="1"/>
  <c r="G161" i="1"/>
  <c r="B161" i="1" s="1"/>
  <c r="G162" i="1"/>
  <c r="B162" i="1" s="1"/>
  <c r="G163" i="1"/>
  <c r="B163" i="1" s="1"/>
  <c r="G164" i="1"/>
  <c r="B164" i="1" s="1"/>
  <c r="G165" i="1"/>
  <c r="B165" i="1" s="1"/>
  <c r="G166" i="1"/>
  <c r="B166" i="1" s="1"/>
  <c r="G167" i="1"/>
  <c r="B167" i="1" s="1"/>
  <c r="G168" i="1"/>
  <c r="B168" i="1" s="1"/>
  <c r="G169" i="1"/>
  <c r="B169" i="1" s="1"/>
  <c r="G170" i="1"/>
  <c r="B170" i="1" s="1"/>
  <c r="G171" i="1"/>
  <c r="B171" i="1" s="1"/>
  <c r="G172" i="1"/>
  <c r="B172" i="1" s="1"/>
  <c r="G173" i="1"/>
  <c r="B173" i="1" s="1"/>
  <c r="G174" i="1"/>
  <c r="B174" i="1" s="1"/>
  <c r="G175" i="1"/>
  <c r="B175" i="1" s="1"/>
  <c r="G176" i="1"/>
  <c r="B176" i="1" s="1"/>
  <c r="G177" i="1"/>
  <c r="B177" i="1" s="1"/>
  <c r="G178" i="1"/>
  <c r="B178" i="1" s="1"/>
  <c r="G179" i="1"/>
  <c r="B179" i="1" s="1"/>
  <c r="G180" i="1"/>
  <c r="B180" i="1" s="1"/>
  <c r="G181" i="1"/>
  <c r="B181" i="1" s="1"/>
  <c r="G182" i="1"/>
  <c r="B182" i="1" s="1"/>
  <c r="G183" i="1"/>
  <c r="B183" i="1" s="1"/>
  <c r="G184" i="1"/>
  <c r="B184" i="1" s="1"/>
  <c r="G185" i="1"/>
  <c r="B185" i="1" s="1"/>
  <c r="G186" i="1"/>
  <c r="B186" i="1" s="1"/>
  <c r="G187" i="1"/>
  <c r="B187" i="1" s="1"/>
  <c r="G188" i="1"/>
  <c r="B188" i="1" s="1"/>
  <c r="G189" i="1"/>
  <c r="B189" i="1" s="1"/>
  <c r="G190" i="1"/>
  <c r="B190" i="1" s="1"/>
  <c r="G191" i="1"/>
  <c r="B191" i="1" s="1"/>
  <c r="G192" i="1"/>
  <c r="B192" i="1" s="1"/>
  <c r="G193" i="1"/>
  <c r="B193" i="1" s="1"/>
  <c r="G194" i="1"/>
  <c r="B194" i="1" s="1"/>
  <c r="G195" i="1"/>
  <c r="B195" i="1" s="1"/>
  <c r="G196" i="1"/>
  <c r="B196" i="1" s="1"/>
  <c r="G197" i="1"/>
  <c r="B197" i="1" s="1"/>
  <c r="G198" i="1"/>
  <c r="B198" i="1" s="1"/>
  <c r="G199" i="1"/>
  <c r="B199" i="1" s="1"/>
  <c r="G200" i="1"/>
  <c r="B200" i="1" s="1"/>
  <c r="G201" i="1"/>
  <c r="B201" i="1" s="1"/>
  <c r="G202" i="1"/>
  <c r="B202" i="1" s="1"/>
  <c r="G203" i="1"/>
  <c r="B203" i="1" s="1"/>
  <c r="G204" i="1"/>
  <c r="B204" i="1" s="1"/>
  <c r="G205" i="1"/>
  <c r="B205" i="1" s="1"/>
  <c r="G206" i="1"/>
  <c r="B206" i="1" s="1"/>
  <c r="G207" i="1"/>
  <c r="B207" i="1" s="1"/>
  <c r="G208" i="1"/>
  <c r="B208" i="1" s="1"/>
  <c r="G209" i="1"/>
  <c r="B209" i="1" s="1"/>
  <c r="G210" i="1"/>
  <c r="B210" i="1" s="1"/>
  <c r="G211" i="1"/>
  <c r="B211" i="1" s="1"/>
  <c r="G212" i="1"/>
  <c r="B212" i="1" s="1"/>
  <c r="G213" i="1"/>
  <c r="B213" i="1" s="1"/>
  <c r="G214" i="1"/>
  <c r="B214" i="1" s="1"/>
  <c r="G215" i="1"/>
  <c r="B215" i="1" s="1"/>
  <c r="G216" i="1"/>
  <c r="B216" i="1" s="1"/>
  <c r="G217" i="1"/>
  <c r="B217" i="1" s="1"/>
  <c r="G218" i="1"/>
  <c r="B218" i="1" s="1"/>
  <c r="G219" i="1"/>
  <c r="B219" i="1" s="1"/>
  <c r="G220" i="1"/>
  <c r="B220" i="1" s="1"/>
  <c r="G221" i="1"/>
  <c r="B221" i="1" s="1"/>
  <c r="G222" i="1"/>
  <c r="B222" i="1" s="1"/>
  <c r="G223" i="1"/>
  <c r="B223" i="1" s="1"/>
  <c r="G224" i="1"/>
  <c r="B224" i="1" s="1"/>
  <c r="G225" i="1"/>
  <c r="B225" i="1" s="1"/>
  <c r="G226" i="1"/>
  <c r="B226" i="1" s="1"/>
  <c r="G227" i="1"/>
  <c r="B227" i="1" s="1"/>
  <c r="G228" i="1"/>
  <c r="B228" i="1" s="1"/>
  <c r="G229" i="1"/>
  <c r="B229" i="1" s="1"/>
  <c r="G230" i="1"/>
  <c r="B230" i="1" s="1"/>
  <c r="G231" i="1"/>
  <c r="B231" i="1" s="1"/>
  <c r="G232" i="1"/>
  <c r="B232" i="1" s="1"/>
  <c r="G233" i="1"/>
  <c r="B233" i="1" s="1"/>
  <c r="G234" i="1"/>
  <c r="B234" i="1" s="1"/>
  <c r="G235" i="1"/>
  <c r="B235" i="1" s="1"/>
  <c r="G236" i="1"/>
  <c r="B236" i="1" s="1"/>
  <c r="G237" i="1"/>
  <c r="B237" i="1" s="1"/>
  <c r="G238" i="1"/>
  <c r="B238" i="1" s="1"/>
  <c r="G239" i="1"/>
  <c r="B239" i="1" s="1"/>
  <c r="G240" i="1"/>
  <c r="B240" i="1" s="1"/>
  <c r="G241" i="1"/>
  <c r="B241" i="1" s="1"/>
  <c r="G242" i="1"/>
  <c r="B242" i="1" s="1"/>
  <c r="G243" i="1"/>
  <c r="B243" i="1" s="1"/>
  <c r="G244" i="1"/>
  <c r="B244" i="1" s="1"/>
  <c r="G245" i="1"/>
  <c r="B245" i="1" s="1"/>
  <c r="G246" i="1"/>
  <c r="B246" i="1" s="1"/>
  <c r="G247" i="1"/>
  <c r="B247" i="1" s="1"/>
  <c r="G248" i="1"/>
  <c r="B248" i="1" s="1"/>
  <c r="G249" i="1"/>
  <c r="B249" i="1" s="1"/>
  <c r="G250" i="1"/>
  <c r="B250" i="1" s="1"/>
  <c r="G251" i="1"/>
  <c r="B251" i="1" s="1"/>
  <c r="G252" i="1"/>
  <c r="B252" i="1" s="1"/>
  <c r="G253" i="1"/>
  <c r="B253" i="1" s="1"/>
  <c r="G254" i="1"/>
  <c r="B254" i="1" s="1"/>
  <c r="G255" i="1"/>
  <c r="B255" i="1" s="1"/>
  <c r="G256" i="1"/>
  <c r="B256" i="1" s="1"/>
  <c r="G257" i="1"/>
  <c r="B257" i="1" s="1"/>
  <c r="G258" i="1"/>
  <c r="B258" i="1" s="1"/>
  <c r="G259" i="1"/>
  <c r="B259" i="1" s="1"/>
  <c r="G260" i="1"/>
  <c r="B260" i="1" s="1"/>
  <c r="G261" i="1"/>
  <c r="B261" i="1" s="1"/>
  <c r="G262" i="1"/>
  <c r="B262" i="1" s="1"/>
  <c r="G263" i="1"/>
  <c r="B263" i="1" s="1"/>
  <c r="G264" i="1"/>
  <c r="B264" i="1" s="1"/>
  <c r="G265" i="1"/>
  <c r="B265" i="1" s="1"/>
  <c r="G266" i="1"/>
  <c r="B266" i="1" s="1"/>
  <c r="G267" i="1"/>
  <c r="B267" i="1" s="1"/>
  <c r="G268" i="1"/>
  <c r="B268" i="1" s="1"/>
  <c r="G269" i="1"/>
  <c r="B269" i="1" s="1"/>
  <c r="G270" i="1"/>
  <c r="B270" i="1" s="1"/>
  <c r="G271" i="1"/>
  <c r="B271" i="1" s="1"/>
  <c r="G272" i="1"/>
  <c r="B272" i="1" s="1"/>
  <c r="G273" i="1"/>
  <c r="B273" i="1" s="1"/>
  <c r="G274" i="1"/>
  <c r="B274" i="1" s="1"/>
  <c r="G275" i="1"/>
  <c r="B275" i="1" s="1"/>
  <c r="G276" i="1"/>
  <c r="B276" i="1" s="1"/>
  <c r="G277" i="1"/>
  <c r="B277" i="1" s="1"/>
  <c r="G278" i="1"/>
  <c r="B278" i="1" s="1"/>
  <c r="G279" i="1"/>
  <c r="B279" i="1" s="1"/>
  <c r="G280" i="1"/>
  <c r="B280" i="1" s="1"/>
  <c r="G281" i="1"/>
  <c r="B281" i="1" s="1"/>
  <c r="G282" i="1"/>
  <c r="B282" i="1" s="1"/>
  <c r="G283" i="1"/>
  <c r="B283" i="1" s="1"/>
  <c r="G284" i="1"/>
  <c r="B284" i="1" s="1"/>
  <c r="G285" i="1"/>
  <c r="B285" i="1" s="1"/>
  <c r="G286" i="1"/>
  <c r="B286" i="1" s="1"/>
  <c r="G287" i="1"/>
  <c r="B287" i="1" s="1"/>
  <c r="G288" i="1"/>
  <c r="B288" i="1" s="1"/>
  <c r="G289" i="1"/>
  <c r="B289" i="1" s="1"/>
  <c r="G290" i="1"/>
  <c r="B290" i="1" s="1"/>
  <c r="G291" i="1"/>
  <c r="B291" i="1" s="1"/>
  <c r="G292" i="1"/>
  <c r="B292" i="1" s="1"/>
  <c r="G293" i="1"/>
  <c r="B293" i="1" s="1"/>
  <c r="G294" i="1"/>
  <c r="B294" i="1" s="1"/>
  <c r="G295" i="1"/>
  <c r="B295" i="1" s="1"/>
  <c r="G296" i="1"/>
  <c r="B296" i="1" s="1"/>
  <c r="G297" i="1"/>
  <c r="B297" i="1" s="1"/>
  <c r="G298" i="1"/>
  <c r="B298" i="1" s="1"/>
  <c r="G299" i="1"/>
  <c r="B299" i="1" s="1"/>
  <c r="G300" i="1"/>
  <c r="B300" i="1" s="1"/>
  <c r="G301" i="1"/>
  <c r="B301" i="1" s="1"/>
  <c r="G302" i="1"/>
  <c r="B302" i="1" s="1"/>
  <c r="G303" i="1"/>
  <c r="B303" i="1" s="1"/>
  <c r="G304" i="1"/>
  <c r="B304" i="1" s="1"/>
  <c r="G305" i="1"/>
  <c r="B305" i="1" s="1"/>
  <c r="G306" i="1"/>
  <c r="B306" i="1" s="1"/>
  <c r="G307" i="1"/>
  <c r="B307" i="1" s="1"/>
  <c r="G308" i="1"/>
  <c r="B308" i="1" s="1"/>
  <c r="G309" i="1"/>
  <c r="B309" i="1" s="1"/>
  <c r="G310" i="1"/>
  <c r="B310" i="1" s="1"/>
  <c r="G311" i="1"/>
  <c r="B311" i="1" s="1"/>
  <c r="G312" i="1"/>
  <c r="B312" i="1" s="1"/>
  <c r="G313" i="1"/>
  <c r="B313" i="1" s="1"/>
  <c r="G314" i="1"/>
  <c r="B314" i="1" s="1"/>
  <c r="G315" i="1"/>
  <c r="B315" i="1" s="1"/>
  <c r="G316" i="1"/>
  <c r="B316" i="1" s="1"/>
  <c r="G317" i="1"/>
  <c r="B317" i="1" s="1"/>
  <c r="G318" i="1"/>
  <c r="B318" i="1" s="1"/>
  <c r="G319" i="1"/>
  <c r="B319" i="1" s="1"/>
  <c r="G320" i="1"/>
  <c r="B320" i="1" s="1"/>
  <c r="G321" i="1"/>
  <c r="B321" i="1" s="1"/>
  <c r="G322" i="1"/>
  <c r="B322" i="1" s="1"/>
  <c r="G323" i="1"/>
  <c r="B323" i="1" s="1"/>
  <c r="G324" i="1"/>
  <c r="B324" i="1" s="1"/>
  <c r="G325" i="1"/>
  <c r="B325" i="1" s="1"/>
  <c r="G326" i="1"/>
  <c r="B326" i="1" s="1"/>
  <c r="G327" i="1"/>
  <c r="B327" i="1" s="1"/>
  <c r="G328" i="1"/>
  <c r="B328" i="1" s="1"/>
  <c r="G329" i="1"/>
  <c r="B329" i="1" s="1"/>
  <c r="G330" i="1"/>
  <c r="B330" i="1" s="1"/>
  <c r="G331" i="1"/>
  <c r="B331" i="1" s="1"/>
  <c r="G332" i="1"/>
  <c r="B332" i="1" s="1"/>
  <c r="G333" i="1"/>
  <c r="B333" i="1" s="1"/>
  <c r="G334" i="1"/>
  <c r="B334" i="1" s="1"/>
  <c r="G335" i="1"/>
  <c r="B335" i="1" s="1"/>
  <c r="G336" i="1"/>
  <c r="B336" i="1" s="1"/>
  <c r="G337" i="1"/>
  <c r="B337" i="1" s="1"/>
  <c r="G338" i="1"/>
  <c r="B338" i="1" s="1"/>
  <c r="G339" i="1"/>
  <c r="B339" i="1" s="1"/>
  <c r="G340" i="1"/>
  <c r="B340" i="1" s="1"/>
  <c r="G341" i="1"/>
  <c r="B341" i="1" s="1"/>
  <c r="G342" i="1"/>
  <c r="B342" i="1" s="1"/>
  <c r="G343" i="1"/>
  <c r="B343" i="1" s="1"/>
  <c r="G344" i="1"/>
  <c r="B344" i="1" s="1"/>
  <c r="G345" i="1"/>
  <c r="B345" i="1" s="1"/>
  <c r="G346" i="1"/>
  <c r="B346" i="1" s="1"/>
  <c r="G347" i="1"/>
  <c r="B347" i="1" s="1"/>
  <c r="G348" i="1"/>
  <c r="B348" i="1" s="1"/>
  <c r="G349" i="1"/>
  <c r="B349" i="1" s="1"/>
  <c r="G350" i="1"/>
  <c r="B350" i="1" s="1"/>
  <c r="G351" i="1"/>
  <c r="B351" i="1" s="1"/>
  <c r="G352" i="1"/>
  <c r="B352" i="1" s="1"/>
  <c r="G353" i="1"/>
  <c r="B353" i="1" s="1"/>
  <c r="G354" i="1"/>
  <c r="B354" i="1" s="1"/>
  <c r="G355" i="1"/>
  <c r="B355" i="1" s="1"/>
  <c r="G356" i="1"/>
  <c r="B356" i="1" s="1"/>
  <c r="G357" i="1"/>
  <c r="B357" i="1" s="1"/>
  <c r="G358" i="1"/>
  <c r="B358" i="1" s="1"/>
  <c r="G359" i="1"/>
  <c r="B359" i="1" s="1"/>
  <c r="G360" i="1"/>
  <c r="B360" i="1" s="1"/>
  <c r="G361" i="1"/>
  <c r="B361" i="1" s="1"/>
  <c r="G362" i="1"/>
  <c r="B362" i="1" s="1"/>
  <c r="G363" i="1"/>
  <c r="B363" i="1" s="1"/>
  <c r="G364" i="1"/>
  <c r="B364" i="1" s="1"/>
  <c r="G365" i="1"/>
  <c r="B365" i="1" s="1"/>
  <c r="G366" i="1"/>
  <c r="B366" i="1" s="1"/>
  <c r="G367" i="1"/>
  <c r="B367" i="1" s="1"/>
  <c r="G368" i="1"/>
  <c r="B368" i="1" s="1"/>
  <c r="G369" i="1"/>
  <c r="B369" i="1" s="1"/>
  <c r="G370" i="1"/>
  <c r="B370" i="1" s="1"/>
  <c r="G371" i="1"/>
  <c r="B371" i="1" s="1"/>
  <c r="G372" i="1"/>
  <c r="B372" i="1" s="1"/>
  <c r="G373" i="1"/>
  <c r="B373" i="1" s="1"/>
  <c r="G374" i="1"/>
  <c r="B374" i="1" s="1"/>
  <c r="G375" i="1"/>
  <c r="B375" i="1" s="1"/>
  <c r="G376" i="1"/>
  <c r="B376" i="1" s="1"/>
  <c r="G377" i="1"/>
  <c r="B377" i="1" s="1"/>
  <c r="G378" i="1"/>
  <c r="B378" i="1" s="1"/>
  <c r="G379" i="1"/>
  <c r="B379" i="1" s="1"/>
  <c r="G380" i="1"/>
  <c r="B380" i="1" s="1"/>
  <c r="G381" i="1"/>
  <c r="B381" i="1" s="1"/>
  <c r="G382" i="1"/>
  <c r="B382" i="1" s="1"/>
  <c r="G383" i="1"/>
  <c r="B383" i="1" s="1"/>
  <c r="G384" i="1"/>
  <c r="B384" i="1" s="1"/>
  <c r="G385" i="1"/>
  <c r="B385" i="1" s="1"/>
  <c r="G386" i="1"/>
  <c r="B386" i="1" s="1"/>
  <c r="G387" i="1"/>
  <c r="B387" i="1" s="1"/>
  <c r="G388" i="1"/>
  <c r="B388" i="1" s="1"/>
  <c r="G1" i="1"/>
  <c r="B1" i="1" s="1"/>
  <c r="C81" i="1"/>
  <c r="C82" i="1"/>
  <c r="C95" i="1"/>
  <c r="C96" i="1"/>
  <c r="C97" i="1"/>
  <c r="C107" i="1"/>
  <c r="C138" i="1"/>
  <c r="C179" i="1"/>
  <c r="C203" i="1"/>
  <c r="C222" i="1"/>
  <c r="C258" i="1"/>
  <c r="C261" i="1"/>
  <c r="C323" i="1"/>
  <c r="C335" i="1"/>
  <c r="C337" i="1"/>
  <c r="C342" i="1"/>
  <c r="C378" i="1"/>
  <c r="B2" i="4"/>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2" i="5"/>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2"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2"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1" i="1"/>
  <c r="E2" i="1"/>
  <c r="C2" i="1" s="1"/>
  <c r="E3" i="1"/>
  <c r="C3" i="1" s="1"/>
  <c r="E4" i="1"/>
  <c r="C4" i="1" s="1"/>
  <c r="E5" i="1"/>
  <c r="C5" i="1" s="1"/>
  <c r="E6" i="1"/>
  <c r="C6" i="1" s="1"/>
  <c r="E7" i="1"/>
  <c r="C7" i="1" s="1"/>
  <c r="E8" i="1"/>
  <c r="C8" i="1" s="1"/>
  <c r="E9" i="1"/>
  <c r="C9" i="1" s="1"/>
  <c r="E10" i="1"/>
  <c r="C10" i="1" s="1"/>
  <c r="E11" i="1"/>
  <c r="C11" i="1" s="1"/>
  <c r="E12" i="1"/>
  <c r="C12" i="1" s="1"/>
  <c r="E13" i="1"/>
  <c r="C13" i="1" s="1"/>
  <c r="E14" i="1"/>
  <c r="C14" i="1" s="1"/>
  <c r="E15" i="1"/>
  <c r="C15" i="1" s="1"/>
  <c r="E16" i="1"/>
  <c r="C16" i="1" s="1"/>
  <c r="E17" i="1"/>
  <c r="C17" i="1" s="1"/>
  <c r="E18" i="1"/>
  <c r="C18" i="1" s="1"/>
  <c r="E19" i="1"/>
  <c r="C19" i="1" s="1"/>
  <c r="E20" i="1"/>
  <c r="C20" i="1" s="1"/>
  <c r="E21" i="1"/>
  <c r="C21" i="1" s="1"/>
  <c r="E22" i="1"/>
  <c r="C22" i="1" s="1"/>
  <c r="E23" i="1"/>
  <c r="C23" i="1" s="1"/>
  <c r="E24" i="1"/>
  <c r="C24" i="1" s="1"/>
  <c r="E25" i="1"/>
  <c r="C25" i="1" s="1"/>
  <c r="E26" i="1"/>
  <c r="C26" i="1" s="1"/>
  <c r="E27" i="1"/>
  <c r="C27" i="1" s="1"/>
  <c r="E28" i="1"/>
  <c r="C28" i="1" s="1"/>
  <c r="E29" i="1"/>
  <c r="C29" i="1" s="1"/>
  <c r="E30" i="1"/>
  <c r="C30" i="1" s="1"/>
  <c r="E31" i="1"/>
  <c r="C31" i="1" s="1"/>
  <c r="E32" i="1"/>
  <c r="C32" i="1" s="1"/>
  <c r="E33" i="1"/>
  <c r="C33" i="1" s="1"/>
  <c r="E34" i="1"/>
  <c r="C34" i="1" s="1"/>
  <c r="E35" i="1"/>
  <c r="C35" i="1" s="1"/>
  <c r="E36" i="1"/>
  <c r="C36" i="1" s="1"/>
  <c r="E37" i="1"/>
  <c r="C37" i="1" s="1"/>
  <c r="E38" i="1"/>
  <c r="C38" i="1" s="1"/>
  <c r="E39" i="1"/>
  <c r="C39" i="1" s="1"/>
  <c r="E40" i="1"/>
  <c r="C40" i="1" s="1"/>
  <c r="E41" i="1"/>
  <c r="C41" i="1" s="1"/>
  <c r="E42" i="1"/>
  <c r="C42" i="1" s="1"/>
  <c r="E43" i="1"/>
  <c r="C43" i="1" s="1"/>
  <c r="E44" i="1"/>
  <c r="C44" i="1" s="1"/>
  <c r="E45" i="1"/>
  <c r="C45" i="1" s="1"/>
  <c r="E46" i="1"/>
  <c r="C46" i="1" s="1"/>
  <c r="E47" i="1"/>
  <c r="C47" i="1" s="1"/>
  <c r="E48" i="1"/>
  <c r="C48" i="1" s="1"/>
  <c r="E49" i="1"/>
  <c r="C49" i="1" s="1"/>
  <c r="E50" i="1"/>
  <c r="C50" i="1" s="1"/>
  <c r="E51" i="1"/>
  <c r="C51" i="1" s="1"/>
  <c r="E52" i="1"/>
  <c r="C52" i="1" s="1"/>
  <c r="E53" i="1"/>
  <c r="C53" i="1" s="1"/>
  <c r="E54" i="1"/>
  <c r="C54" i="1" s="1"/>
  <c r="E55" i="1"/>
  <c r="C55" i="1" s="1"/>
  <c r="E56" i="1"/>
  <c r="C56" i="1" s="1"/>
  <c r="E57" i="1"/>
  <c r="C57" i="1" s="1"/>
  <c r="E58" i="1"/>
  <c r="C58" i="1" s="1"/>
  <c r="E59" i="1"/>
  <c r="C59" i="1" s="1"/>
  <c r="E60" i="1"/>
  <c r="C60" i="1" s="1"/>
  <c r="E61" i="1"/>
  <c r="C61" i="1" s="1"/>
  <c r="E62" i="1"/>
  <c r="C62" i="1" s="1"/>
  <c r="E63" i="1"/>
  <c r="C63" i="1" s="1"/>
  <c r="E64" i="1"/>
  <c r="C64" i="1" s="1"/>
  <c r="E65" i="1"/>
  <c r="C65" i="1" s="1"/>
  <c r="E66" i="1"/>
  <c r="C66" i="1" s="1"/>
  <c r="E67" i="1"/>
  <c r="C67" i="1" s="1"/>
  <c r="E68" i="1"/>
  <c r="C68" i="1" s="1"/>
  <c r="E69" i="1"/>
  <c r="C69" i="1" s="1"/>
  <c r="E70" i="1"/>
  <c r="C70" i="1" s="1"/>
  <c r="E71" i="1"/>
  <c r="C71" i="1" s="1"/>
  <c r="E72" i="1"/>
  <c r="C72" i="1" s="1"/>
  <c r="E73" i="1"/>
  <c r="C73" i="1" s="1"/>
  <c r="E74" i="1"/>
  <c r="C74" i="1" s="1"/>
  <c r="E75" i="1"/>
  <c r="C75" i="1" s="1"/>
  <c r="E76" i="1"/>
  <c r="C76" i="1" s="1"/>
  <c r="E77" i="1"/>
  <c r="C77" i="1" s="1"/>
  <c r="E78" i="1"/>
  <c r="C78" i="1" s="1"/>
  <c r="E79" i="1"/>
  <c r="C79" i="1" s="1"/>
  <c r="E80" i="1"/>
  <c r="C80" i="1" s="1"/>
  <c r="E81" i="1"/>
  <c r="E82" i="1"/>
  <c r="E83" i="1"/>
  <c r="C83" i="1" s="1"/>
  <c r="E84" i="1"/>
  <c r="C84" i="1" s="1"/>
  <c r="E85" i="1"/>
  <c r="C85" i="1" s="1"/>
  <c r="E86" i="1"/>
  <c r="C86" i="1" s="1"/>
  <c r="E87" i="1"/>
  <c r="C87" i="1" s="1"/>
  <c r="E88" i="1"/>
  <c r="C88" i="1" s="1"/>
  <c r="E89" i="1"/>
  <c r="C89" i="1" s="1"/>
  <c r="E90" i="1"/>
  <c r="C90" i="1" s="1"/>
  <c r="E91" i="1"/>
  <c r="C91" i="1" s="1"/>
  <c r="E92" i="1"/>
  <c r="C92" i="1" s="1"/>
  <c r="E93" i="1"/>
  <c r="C93" i="1" s="1"/>
  <c r="E94" i="1"/>
  <c r="C94" i="1" s="1"/>
  <c r="E95" i="1"/>
  <c r="E96" i="1"/>
  <c r="E97" i="1"/>
  <c r="E98" i="1"/>
  <c r="C98" i="1" s="1"/>
  <c r="E99" i="1"/>
  <c r="C99" i="1" s="1"/>
  <c r="E100" i="1"/>
  <c r="C100" i="1" s="1"/>
  <c r="E101" i="1"/>
  <c r="C101" i="1" s="1"/>
  <c r="E102" i="1"/>
  <c r="C102" i="1" s="1"/>
  <c r="E103" i="1"/>
  <c r="C103" i="1" s="1"/>
  <c r="E104" i="1"/>
  <c r="C104" i="1" s="1"/>
  <c r="E105" i="1"/>
  <c r="C105" i="1" s="1"/>
  <c r="E106" i="1"/>
  <c r="C106" i="1" s="1"/>
  <c r="E107" i="1"/>
  <c r="E108" i="1"/>
  <c r="C108" i="1" s="1"/>
  <c r="E109" i="1"/>
  <c r="C109" i="1" s="1"/>
  <c r="E110" i="1"/>
  <c r="C110" i="1" s="1"/>
  <c r="E111" i="1"/>
  <c r="C111" i="1" s="1"/>
  <c r="E112" i="1"/>
  <c r="C112" i="1" s="1"/>
  <c r="E113" i="1"/>
  <c r="C113" i="1" s="1"/>
  <c r="E114" i="1"/>
  <c r="C114" i="1" s="1"/>
  <c r="E115" i="1"/>
  <c r="C115" i="1" s="1"/>
  <c r="E116" i="1"/>
  <c r="C116" i="1" s="1"/>
  <c r="E117" i="1"/>
  <c r="C117" i="1" s="1"/>
  <c r="E118" i="1"/>
  <c r="C118" i="1" s="1"/>
  <c r="E119" i="1"/>
  <c r="C119" i="1" s="1"/>
  <c r="E120" i="1"/>
  <c r="C120" i="1" s="1"/>
  <c r="E121" i="1"/>
  <c r="C121" i="1" s="1"/>
  <c r="E122" i="1"/>
  <c r="C122" i="1" s="1"/>
  <c r="E123" i="1"/>
  <c r="C123" i="1" s="1"/>
  <c r="E124" i="1"/>
  <c r="C124" i="1" s="1"/>
  <c r="E125" i="1"/>
  <c r="C125" i="1" s="1"/>
  <c r="E126" i="1"/>
  <c r="C126" i="1" s="1"/>
  <c r="E127" i="1"/>
  <c r="C127" i="1" s="1"/>
  <c r="E128" i="1"/>
  <c r="C128" i="1" s="1"/>
  <c r="E129" i="1"/>
  <c r="C129" i="1" s="1"/>
  <c r="E130" i="1"/>
  <c r="C130" i="1" s="1"/>
  <c r="E131" i="1"/>
  <c r="C131" i="1" s="1"/>
  <c r="E132" i="1"/>
  <c r="C132" i="1" s="1"/>
  <c r="E133" i="1"/>
  <c r="C133" i="1" s="1"/>
  <c r="E134" i="1"/>
  <c r="C134" i="1" s="1"/>
  <c r="E135" i="1"/>
  <c r="C135" i="1" s="1"/>
  <c r="E136" i="1"/>
  <c r="C136" i="1" s="1"/>
  <c r="E137" i="1"/>
  <c r="C137" i="1" s="1"/>
  <c r="E138" i="1"/>
  <c r="E139" i="1"/>
  <c r="C139" i="1" s="1"/>
  <c r="E140" i="1"/>
  <c r="C140" i="1" s="1"/>
  <c r="E141" i="1"/>
  <c r="C141" i="1" s="1"/>
  <c r="E142" i="1"/>
  <c r="C142" i="1" s="1"/>
  <c r="E143" i="1"/>
  <c r="C143" i="1" s="1"/>
  <c r="E144" i="1"/>
  <c r="C144" i="1" s="1"/>
  <c r="E145" i="1"/>
  <c r="C145" i="1" s="1"/>
  <c r="E146" i="1"/>
  <c r="C146" i="1" s="1"/>
  <c r="E147" i="1"/>
  <c r="C147" i="1" s="1"/>
  <c r="E148" i="1"/>
  <c r="C148" i="1" s="1"/>
  <c r="E149" i="1"/>
  <c r="C149" i="1" s="1"/>
  <c r="E150" i="1"/>
  <c r="C150" i="1" s="1"/>
  <c r="E151" i="1"/>
  <c r="C151" i="1" s="1"/>
  <c r="E152" i="1"/>
  <c r="C152" i="1" s="1"/>
  <c r="E153" i="1"/>
  <c r="C153" i="1" s="1"/>
  <c r="E154" i="1"/>
  <c r="C154" i="1" s="1"/>
  <c r="E155" i="1"/>
  <c r="C155" i="1" s="1"/>
  <c r="E156" i="1"/>
  <c r="C156" i="1" s="1"/>
  <c r="E157" i="1"/>
  <c r="C157" i="1" s="1"/>
  <c r="E158" i="1"/>
  <c r="C158" i="1" s="1"/>
  <c r="E159" i="1"/>
  <c r="C159" i="1" s="1"/>
  <c r="E160" i="1"/>
  <c r="C160" i="1" s="1"/>
  <c r="E161" i="1"/>
  <c r="C161" i="1" s="1"/>
  <c r="E162" i="1"/>
  <c r="C162" i="1" s="1"/>
  <c r="E163" i="1"/>
  <c r="C163" i="1" s="1"/>
  <c r="E164" i="1"/>
  <c r="C164" i="1" s="1"/>
  <c r="E165" i="1"/>
  <c r="C165" i="1" s="1"/>
  <c r="E166" i="1"/>
  <c r="C166" i="1" s="1"/>
  <c r="E167" i="1"/>
  <c r="C167" i="1" s="1"/>
  <c r="E168" i="1"/>
  <c r="C168" i="1" s="1"/>
  <c r="E169" i="1"/>
  <c r="C169" i="1" s="1"/>
  <c r="E170" i="1"/>
  <c r="C170" i="1" s="1"/>
  <c r="E171" i="1"/>
  <c r="C171" i="1" s="1"/>
  <c r="E172" i="1"/>
  <c r="C172" i="1" s="1"/>
  <c r="E173" i="1"/>
  <c r="C173" i="1" s="1"/>
  <c r="E174" i="1"/>
  <c r="C174" i="1" s="1"/>
  <c r="E175" i="1"/>
  <c r="C175" i="1" s="1"/>
  <c r="E176" i="1"/>
  <c r="C176" i="1" s="1"/>
  <c r="E177" i="1"/>
  <c r="C177" i="1" s="1"/>
  <c r="E178" i="1"/>
  <c r="C178" i="1" s="1"/>
  <c r="E179" i="1"/>
  <c r="E180" i="1"/>
  <c r="C180" i="1" s="1"/>
  <c r="E181" i="1"/>
  <c r="C181" i="1" s="1"/>
  <c r="E182" i="1"/>
  <c r="C182" i="1" s="1"/>
  <c r="E183" i="1"/>
  <c r="C183" i="1" s="1"/>
  <c r="E184" i="1"/>
  <c r="C184" i="1" s="1"/>
  <c r="E185" i="1"/>
  <c r="C185" i="1" s="1"/>
  <c r="E186" i="1"/>
  <c r="C186" i="1" s="1"/>
  <c r="E187" i="1"/>
  <c r="C187" i="1" s="1"/>
  <c r="E188" i="1"/>
  <c r="C188" i="1" s="1"/>
  <c r="E189" i="1"/>
  <c r="C189" i="1" s="1"/>
  <c r="E190" i="1"/>
  <c r="C190" i="1" s="1"/>
  <c r="E191" i="1"/>
  <c r="C191" i="1" s="1"/>
  <c r="E192" i="1"/>
  <c r="C192" i="1" s="1"/>
  <c r="E193" i="1"/>
  <c r="C193" i="1" s="1"/>
  <c r="E194" i="1"/>
  <c r="C194" i="1" s="1"/>
  <c r="E195" i="1"/>
  <c r="C195" i="1" s="1"/>
  <c r="E196" i="1"/>
  <c r="C196" i="1" s="1"/>
  <c r="E197" i="1"/>
  <c r="C197" i="1" s="1"/>
  <c r="E198" i="1"/>
  <c r="C198" i="1" s="1"/>
  <c r="E199" i="1"/>
  <c r="C199" i="1" s="1"/>
  <c r="E200" i="1"/>
  <c r="C200" i="1" s="1"/>
  <c r="E201" i="1"/>
  <c r="C201" i="1" s="1"/>
  <c r="E202" i="1"/>
  <c r="C202" i="1" s="1"/>
  <c r="E203" i="1"/>
  <c r="E204" i="1"/>
  <c r="C204" i="1" s="1"/>
  <c r="E205" i="1"/>
  <c r="C205" i="1" s="1"/>
  <c r="E206" i="1"/>
  <c r="C206" i="1" s="1"/>
  <c r="E207" i="1"/>
  <c r="C207" i="1" s="1"/>
  <c r="E208" i="1"/>
  <c r="C208" i="1" s="1"/>
  <c r="E209" i="1"/>
  <c r="C209" i="1" s="1"/>
  <c r="E210" i="1"/>
  <c r="C210" i="1" s="1"/>
  <c r="E211" i="1"/>
  <c r="C211" i="1" s="1"/>
  <c r="E212" i="1"/>
  <c r="C212" i="1" s="1"/>
  <c r="E213" i="1"/>
  <c r="C213" i="1" s="1"/>
  <c r="E214" i="1"/>
  <c r="C214" i="1" s="1"/>
  <c r="E215" i="1"/>
  <c r="C215" i="1" s="1"/>
  <c r="E216" i="1"/>
  <c r="C216" i="1" s="1"/>
  <c r="E217" i="1"/>
  <c r="C217" i="1" s="1"/>
  <c r="E218" i="1"/>
  <c r="C218" i="1" s="1"/>
  <c r="E219" i="1"/>
  <c r="C219" i="1" s="1"/>
  <c r="E220" i="1"/>
  <c r="C220" i="1" s="1"/>
  <c r="E221" i="1"/>
  <c r="C221" i="1" s="1"/>
  <c r="E222" i="1"/>
  <c r="E223" i="1"/>
  <c r="C223" i="1" s="1"/>
  <c r="E224" i="1"/>
  <c r="C224" i="1" s="1"/>
  <c r="E225" i="1"/>
  <c r="C225" i="1" s="1"/>
  <c r="E226" i="1"/>
  <c r="C226" i="1" s="1"/>
  <c r="E227" i="1"/>
  <c r="C227" i="1" s="1"/>
  <c r="E228" i="1"/>
  <c r="C228" i="1" s="1"/>
  <c r="E229" i="1"/>
  <c r="C229" i="1" s="1"/>
  <c r="E230" i="1"/>
  <c r="C230" i="1" s="1"/>
  <c r="E231" i="1"/>
  <c r="C231" i="1" s="1"/>
  <c r="E232" i="1"/>
  <c r="C232" i="1" s="1"/>
  <c r="E233" i="1"/>
  <c r="C233" i="1" s="1"/>
  <c r="E234" i="1"/>
  <c r="C234" i="1" s="1"/>
  <c r="E235" i="1"/>
  <c r="C235" i="1" s="1"/>
  <c r="E236" i="1"/>
  <c r="C236" i="1" s="1"/>
  <c r="E237" i="1"/>
  <c r="C237" i="1" s="1"/>
  <c r="E238" i="1"/>
  <c r="C238" i="1" s="1"/>
  <c r="E239" i="1"/>
  <c r="C239" i="1" s="1"/>
  <c r="E240" i="1"/>
  <c r="C240" i="1" s="1"/>
  <c r="E241" i="1"/>
  <c r="C241" i="1" s="1"/>
  <c r="E242" i="1"/>
  <c r="C242" i="1" s="1"/>
  <c r="E243" i="1"/>
  <c r="C243" i="1" s="1"/>
  <c r="E244" i="1"/>
  <c r="C244" i="1" s="1"/>
  <c r="E245" i="1"/>
  <c r="C245" i="1" s="1"/>
  <c r="E246" i="1"/>
  <c r="C246" i="1" s="1"/>
  <c r="E247" i="1"/>
  <c r="C247" i="1" s="1"/>
  <c r="E248" i="1"/>
  <c r="C248" i="1" s="1"/>
  <c r="E249" i="1"/>
  <c r="C249" i="1" s="1"/>
  <c r="E250" i="1"/>
  <c r="C250" i="1" s="1"/>
  <c r="E251" i="1"/>
  <c r="C251" i="1" s="1"/>
  <c r="E252" i="1"/>
  <c r="C252" i="1" s="1"/>
  <c r="E253" i="1"/>
  <c r="C253" i="1" s="1"/>
  <c r="E254" i="1"/>
  <c r="C254" i="1" s="1"/>
  <c r="E255" i="1"/>
  <c r="C255" i="1" s="1"/>
  <c r="E256" i="1"/>
  <c r="C256" i="1" s="1"/>
  <c r="E257" i="1"/>
  <c r="C257" i="1" s="1"/>
  <c r="E258" i="1"/>
  <c r="E259" i="1"/>
  <c r="C259" i="1" s="1"/>
  <c r="E260" i="1"/>
  <c r="C260" i="1" s="1"/>
  <c r="E261" i="1"/>
  <c r="E262" i="1"/>
  <c r="C262" i="1" s="1"/>
  <c r="E263" i="1"/>
  <c r="C263" i="1" s="1"/>
  <c r="E264" i="1"/>
  <c r="C264" i="1" s="1"/>
  <c r="E265" i="1"/>
  <c r="C265" i="1" s="1"/>
  <c r="E266" i="1"/>
  <c r="C266" i="1" s="1"/>
  <c r="E267" i="1"/>
  <c r="C267" i="1" s="1"/>
  <c r="E268" i="1"/>
  <c r="C268" i="1" s="1"/>
  <c r="E269" i="1"/>
  <c r="C269" i="1" s="1"/>
  <c r="E270" i="1"/>
  <c r="C270" i="1" s="1"/>
  <c r="E271" i="1"/>
  <c r="C271" i="1" s="1"/>
  <c r="E272" i="1"/>
  <c r="C272" i="1" s="1"/>
  <c r="E273" i="1"/>
  <c r="C273" i="1" s="1"/>
  <c r="E274" i="1"/>
  <c r="C274" i="1" s="1"/>
  <c r="E275" i="1"/>
  <c r="C275" i="1" s="1"/>
  <c r="E276" i="1"/>
  <c r="C276" i="1" s="1"/>
  <c r="E277" i="1"/>
  <c r="C277" i="1" s="1"/>
  <c r="E278" i="1"/>
  <c r="C278" i="1" s="1"/>
  <c r="E279" i="1"/>
  <c r="C279" i="1" s="1"/>
  <c r="E280" i="1"/>
  <c r="C280" i="1" s="1"/>
  <c r="E281" i="1"/>
  <c r="C281" i="1" s="1"/>
  <c r="E282" i="1"/>
  <c r="C282" i="1" s="1"/>
  <c r="E283" i="1"/>
  <c r="C283" i="1" s="1"/>
  <c r="E284" i="1"/>
  <c r="C284" i="1" s="1"/>
  <c r="E285" i="1"/>
  <c r="C285" i="1" s="1"/>
  <c r="E286" i="1"/>
  <c r="C286" i="1" s="1"/>
  <c r="E287" i="1"/>
  <c r="C287" i="1" s="1"/>
  <c r="E288" i="1"/>
  <c r="C288" i="1" s="1"/>
  <c r="E289" i="1"/>
  <c r="C289" i="1" s="1"/>
  <c r="E290" i="1"/>
  <c r="C290" i="1" s="1"/>
  <c r="E291" i="1"/>
  <c r="C291" i="1" s="1"/>
  <c r="E292" i="1"/>
  <c r="C292" i="1" s="1"/>
  <c r="E293" i="1"/>
  <c r="C293" i="1" s="1"/>
  <c r="E294" i="1"/>
  <c r="C294" i="1" s="1"/>
  <c r="E295" i="1"/>
  <c r="C295" i="1" s="1"/>
  <c r="E296" i="1"/>
  <c r="C296" i="1" s="1"/>
  <c r="E297" i="1"/>
  <c r="C297" i="1" s="1"/>
  <c r="E298" i="1"/>
  <c r="C298" i="1" s="1"/>
  <c r="E299" i="1"/>
  <c r="C299" i="1" s="1"/>
  <c r="E300" i="1"/>
  <c r="C300" i="1" s="1"/>
  <c r="E301" i="1"/>
  <c r="C301" i="1" s="1"/>
  <c r="E302" i="1"/>
  <c r="C302" i="1" s="1"/>
  <c r="E303" i="1"/>
  <c r="C303" i="1" s="1"/>
  <c r="E304" i="1"/>
  <c r="C304" i="1" s="1"/>
  <c r="E305" i="1"/>
  <c r="C305" i="1" s="1"/>
  <c r="E306" i="1"/>
  <c r="C306" i="1" s="1"/>
  <c r="E307" i="1"/>
  <c r="C307" i="1" s="1"/>
  <c r="E308" i="1"/>
  <c r="C308" i="1" s="1"/>
  <c r="E309" i="1"/>
  <c r="C309" i="1" s="1"/>
  <c r="E310" i="1"/>
  <c r="C310" i="1" s="1"/>
  <c r="E311" i="1"/>
  <c r="C311" i="1" s="1"/>
  <c r="E312" i="1"/>
  <c r="C312" i="1" s="1"/>
  <c r="E313" i="1"/>
  <c r="C313" i="1" s="1"/>
  <c r="E314" i="1"/>
  <c r="C314" i="1" s="1"/>
  <c r="E315" i="1"/>
  <c r="C315" i="1" s="1"/>
  <c r="E316" i="1"/>
  <c r="C316" i="1" s="1"/>
  <c r="E317" i="1"/>
  <c r="C317" i="1" s="1"/>
  <c r="E318" i="1"/>
  <c r="C318" i="1" s="1"/>
  <c r="E319" i="1"/>
  <c r="C319" i="1" s="1"/>
  <c r="E320" i="1"/>
  <c r="C320" i="1" s="1"/>
  <c r="E321" i="1"/>
  <c r="C321" i="1" s="1"/>
  <c r="E322" i="1"/>
  <c r="C322" i="1" s="1"/>
  <c r="E323" i="1"/>
  <c r="E324" i="1"/>
  <c r="C324" i="1" s="1"/>
  <c r="E325" i="1"/>
  <c r="C325" i="1" s="1"/>
  <c r="E326" i="1"/>
  <c r="C326" i="1" s="1"/>
  <c r="E327" i="1"/>
  <c r="C327" i="1" s="1"/>
  <c r="E328" i="1"/>
  <c r="C328" i="1" s="1"/>
  <c r="E329" i="1"/>
  <c r="C329" i="1" s="1"/>
  <c r="E330" i="1"/>
  <c r="C330" i="1" s="1"/>
  <c r="E331" i="1"/>
  <c r="C331" i="1" s="1"/>
  <c r="E332" i="1"/>
  <c r="C332" i="1" s="1"/>
  <c r="E333" i="1"/>
  <c r="C333" i="1" s="1"/>
  <c r="E334" i="1"/>
  <c r="C334" i="1" s="1"/>
  <c r="E335" i="1"/>
  <c r="E336" i="1"/>
  <c r="C336" i="1" s="1"/>
  <c r="E337" i="1"/>
  <c r="E338" i="1"/>
  <c r="C338" i="1" s="1"/>
  <c r="E339" i="1"/>
  <c r="C339" i="1" s="1"/>
  <c r="E340" i="1"/>
  <c r="C340" i="1" s="1"/>
  <c r="E341" i="1"/>
  <c r="C341" i="1" s="1"/>
  <c r="E342" i="1"/>
  <c r="E343" i="1"/>
  <c r="C343" i="1" s="1"/>
  <c r="E344" i="1"/>
  <c r="C344" i="1" s="1"/>
  <c r="E345" i="1"/>
  <c r="C345" i="1" s="1"/>
  <c r="E346" i="1"/>
  <c r="C346" i="1" s="1"/>
  <c r="E347" i="1"/>
  <c r="C347" i="1" s="1"/>
  <c r="E348" i="1"/>
  <c r="C348" i="1" s="1"/>
  <c r="E349" i="1"/>
  <c r="C349" i="1" s="1"/>
  <c r="E350" i="1"/>
  <c r="C350" i="1" s="1"/>
  <c r="E351" i="1"/>
  <c r="C351" i="1" s="1"/>
  <c r="E352" i="1"/>
  <c r="C352" i="1" s="1"/>
  <c r="E353" i="1"/>
  <c r="C353" i="1" s="1"/>
  <c r="E354" i="1"/>
  <c r="C354" i="1" s="1"/>
  <c r="E355" i="1"/>
  <c r="C355" i="1" s="1"/>
  <c r="E356" i="1"/>
  <c r="C356" i="1" s="1"/>
  <c r="E357" i="1"/>
  <c r="C357" i="1" s="1"/>
  <c r="E358" i="1"/>
  <c r="C358" i="1" s="1"/>
  <c r="E359" i="1"/>
  <c r="C359" i="1" s="1"/>
  <c r="E360" i="1"/>
  <c r="C360" i="1" s="1"/>
  <c r="E361" i="1"/>
  <c r="C361" i="1" s="1"/>
  <c r="E362" i="1"/>
  <c r="C362" i="1" s="1"/>
  <c r="E363" i="1"/>
  <c r="C363" i="1" s="1"/>
  <c r="E364" i="1"/>
  <c r="C364" i="1" s="1"/>
  <c r="E365" i="1"/>
  <c r="C365" i="1" s="1"/>
  <c r="E366" i="1"/>
  <c r="C366" i="1" s="1"/>
  <c r="E367" i="1"/>
  <c r="C367" i="1" s="1"/>
  <c r="E368" i="1"/>
  <c r="C368" i="1" s="1"/>
  <c r="E369" i="1"/>
  <c r="C369" i="1" s="1"/>
  <c r="E370" i="1"/>
  <c r="C370" i="1" s="1"/>
  <c r="E371" i="1"/>
  <c r="C371" i="1" s="1"/>
  <c r="E372" i="1"/>
  <c r="C372" i="1" s="1"/>
  <c r="E373" i="1"/>
  <c r="C373" i="1" s="1"/>
  <c r="E374" i="1"/>
  <c r="C374" i="1" s="1"/>
  <c r="E375" i="1"/>
  <c r="C375" i="1" s="1"/>
  <c r="E376" i="1"/>
  <c r="C376" i="1" s="1"/>
  <c r="E377" i="1"/>
  <c r="C377" i="1" s="1"/>
  <c r="E378" i="1"/>
  <c r="E379" i="1"/>
  <c r="C379" i="1" s="1"/>
  <c r="E380" i="1"/>
  <c r="C380" i="1" s="1"/>
  <c r="E381" i="1"/>
  <c r="C381" i="1" s="1"/>
  <c r="E382" i="1"/>
  <c r="C382" i="1" s="1"/>
  <c r="E383" i="1"/>
  <c r="C383" i="1" s="1"/>
  <c r="E384" i="1"/>
  <c r="C384" i="1" s="1"/>
  <c r="E385" i="1"/>
  <c r="C385" i="1" s="1"/>
  <c r="E386" i="1"/>
  <c r="C386" i="1" s="1"/>
  <c r="E387" i="1"/>
  <c r="C387" i="1" s="1"/>
  <c r="E388" i="1"/>
  <c r="C388" i="1" s="1"/>
  <c r="E1" i="1"/>
  <c r="C1" i="1" s="1"/>
</calcChain>
</file>

<file path=xl/sharedStrings.xml><?xml version="1.0" encoding="utf-8"?>
<sst xmlns="http://schemas.openxmlformats.org/spreadsheetml/2006/main" count="8763" uniqueCount="1625">
  <si>
    <t>Acid Splash.md</t>
  </si>
  <si>
    <t>Aid.md</t>
  </si>
  <si>
    <t>Alarm.md</t>
  </si>
  <si>
    <t>Alter Self.md</t>
  </si>
  <si>
    <t>Animal Friendship.md</t>
  </si>
  <si>
    <t>Animal Messenger.md</t>
  </si>
  <si>
    <t>Animal Shapes.md</t>
  </si>
  <si>
    <t>Animate Dead.md</t>
  </si>
  <si>
    <t>Animate Objects.md</t>
  </si>
  <si>
    <t>Antilife Shell.md</t>
  </si>
  <si>
    <t>Antimagic Field.md</t>
  </si>
  <si>
    <t>Antipathy Sympathy.md</t>
  </si>
  <si>
    <t>Arcane Eye.md</t>
  </si>
  <si>
    <t>Arcane Gate.md</t>
  </si>
  <si>
    <t>Arcane Lock.md</t>
  </si>
  <si>
    <t>Arcane Vigor.md</t>
  </si>
  <si>
    <t>Armor of Agathys.md</t>
  </si>
  <si>
    <t>Arms of Hadar.md</t>
  </si>
  <si>
    <t>Astral Projection.md</t>
  </si>
  <si>
    <t>Augury.md</t>
  </si>
  <si>
    <t>Aura of Life.md</t>
  </si>
  <si>
    <t>Aura of Purity.md</t>
  </si>
  <si>
    <t>Aura of Vitality.md</t>
  </si>
  <si>
    <t>Awaken.md</t>
  </si>
  <si>
    <t>Bane.md</t>
  </si>
  <si>
    <t>Banishing Smite.md</t>
  </si>
  <si>
    <t>Banishment.md</t>
  </si>
  <si>
    <t>Barkskin.md</t>
  </si>
  <si>
    <t>Beacon of Hope.md</t>
  </si>
  <si>
    <t>Beast Sense.md</t>
  </si>
  <si>
    <t>Befuddlement.md</t>
  </si>
  <si>
    <t>Bestow Curse.md</t>
  </si>
  <si>
    <t>Bigby's Hand.md</t>
  </si>
  <si>
    <t>Blade Barrier.md</t>
  </si>
  <si>
    <t>Blade Ward.md</t>
  </si>
  <si>
    <t>Bless.md</t>
  </si>
  <si>
    <t>Blight.md</t>
  </si>
  <si>
    <t>Blinding Smite.md</t>
  </si>
  <si>
    <t>Blindness Deafness.md</t>
  </si>
  <si>
    <t>Blink.md</t>
  </si>
  <si>
    <t>Blur.md</t>
  </si>
  <si>
    <t>Burning Hands.md</t>
  </si>
  <si>
    <t>Call Lightning.md</t>
  </si>
  <si>
    <t>Calm Emotions.md</t>
  </si>
  <si>
    <t>Chain Lightning.md</t>
  </si>
  <si>
    <t>Charm Monster.md</t>
  </si>
  <si>
    <t>Charm Person.md</t>
  </si>
  <si>
    <t>Chill Touch.md</t>
  </si>
  <si>
    <t>Chromatic Orb.md</t>
  </si>
  <si>
    <t>Circle of Death.md</t>
  </si>
  <si>
    <t>Circle of Power.md</t>
  </si>
  <si>
    <t>Clairvoyance.md</t>
  </si>
  <si>
    <t>Clone.md</t>
  </si>
  <si>
    <t>Cloud of Daggers.md</t>
  </si>
  <si>
    <t>Cloudkill.md</t>
  </si>
  <si>
    <t>Color Spray.md</t>
  </si>
  <si>
    <t>Command.md</t>
  </si>
  <si>
    <t>Commune with Nature.md</t>
  </si>
  <si>
    <t>Commune.md</t>
  </si>
  <si>
    <t>Compelled Duel.md</t>
  </si>
  <si>
    <t>Comprehend Languages.md</t>
  </si>
  <si>
    <t>Compulsion.md</t>
  </si>
  <si>
    <t>Cone of Cold.md</t>
  </si>
  <si>
    <t>Confusion.md</t>
  </si>
  <si>
    <t>Conjure Animals.md</t>
  </si>
  <si>
    <t>Conjure Barrage.md</t>
  </si>
  <si>
    <t>Conjure Celestial.md</t>
  </si>
  <si>
    <t>Conjure Elemental.md</t>
  </si>
  <si>
    <t>Conjure Fey.md</t>
  </si>
  <si>
    <t>Conjure Minor Elementals.md</t>
  </si>
  <si>
    <t>Conjure Volley.md</t>
  </si>
  <si>
    <t>Conjure Woodland Beings.md</t>
  </si>
  <si>
    <t>Contact Other Plane.md</t>
  </si>
  <si>
    <t>Contagion.md</t>
  </si>
  <si>
    <t>Contingency.md</t>
  </si>
  <si>
    <t>Continual Flame.md</t>
  </si>
  <si>
    <t>Control Water.md</t>
  </si>
  <si>
    <t>Control Weather.md</t>
  </si>
  <si>
    <t>Cordon of Arrows.md</t>
  </si>
  <si>
    <t>Counterspell.md</t>
  </si>
  <si>
    <t>Create Food and Water.md</t>
  </si>
  <si>
    <t>Create or Destroy Water.md</t>
  </si>
  <si>
    <t xml:space="preserve">level 1 - #transmutation Casting Time: Action Range: 30 feet Components: V, S, M (a mix of water and sand) Duration: Instantaneous 
You do one of the following: Create Water. You create up to 10 gallons of clean water within range in an open container. Alternatively, the water falls as rain in a 30-foot Cube within range, extinguishing exposed flames there. Destroy Water. You destroy up to 10 gallons of water in an open container within range. Alternatively, you destroy fog in a 30-foot Cube within range. 
Using a Higher-Level Spell Slot. You create or destroy 10 additional gallons of water, or the size of the Cube increases by 5 feet, for each spell slot level above 1._x000D_
</t>
  </si>
  <si>
    <t>Create Undead.md</t>
  </si>
  <si>
    <t xml:space="preserve">level 6 - #necromancy Casting Time: 1 minute Range: 10 feet Components: V, S, M (one 150+ GP black onyx stone for each corpse) Duration: Instantaneous 
You can cast this spell only at night. Choose up to three corpses of Medium or Small Humanoids within range. Each one becomes a Ghoul under your control. As a Bonus Action on each of your turns, you can mentally command any creature you animated with this spell if the creature is within 120 feet of you (if you control multiple creatures, you can command any of them at the same time, issuing the same command to them). You decide what action the creature will take and where it will move on its next turn, or you can issue a general command, such as to guard a particular place. If you issue no commands, the creature takes the Dodge action and moves only to avoid harm. Once given an order, the creature continues to follow the order until its task is complete. 
The creature is under your control for 24 hours, after which it stops obeying any command you've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 
Using a Higher-Level Spell Slot. If you use a level 7 spell slot, you can animate or reassert control over four Ghouls. If you use a level 8 spell slot, you can animate or reassert control over five Ghouls or two Ghasts or Wights. If you use a level 9 spell slot, you can animate or reassert contro_x000D_
</t>
  </si>
  <si>
    <t>Creation.md</t>
  </si>
  <si>
    <t xml:space="preserve">level 5 - #illusion Casting Time: 1 minute Range: 30 feet Components: V, S, M (a paintbrush) Duration: Special 
You pull wisps of shadow material from the Shadowfell to create an object within range. It is either an object of vegetable matter (soft goods, rope, wood, and the like) or mineral matter (stone, crystal, metal, and the like). The object must be no larger than a 5-foot Cube, and the object must be of a form and material that you have seen. 
The spell's duration depends on the object's material, as shown in the Materials table. If the object is composed of multiple materials, use the shortest duration. Using any object created by this spell as another spell's Material component causes the other spell to fail. 
Material Duration 
Vegetable matter       24 hours 
Stone or crystal          12 hours 
Precious metals            1 hour 
Gems                          10 minutes 
Adamantine or mithral 1 minute 
Using a Higher-Level Spell Slot. The Cube increases by 5 feet for each spell slot level above 5._x000D_
</t>
  </si>
  <si>
    <t>Crown of Madness.md</t>
  </si>
  <si>
    <t xml:space="preserve">level 2 - #enchantment Casting Time: Action Range: 120 feet Components: V, S Duration: #Concentration, up to 1 minute 
One creature that you can see within range must succeed on a Wisdom saving throw or have the Charmed condition for the duration. The creature succeeds automatically if it isn't Humanoid. A spectral crown appears on the Charmed target's head, and it must use its action before moving on each of its turns to make a melee attack against a creature other than itself that you mentally choose. The target can act normally on its turn if you choose no creature or if no creature is within its reach. The target repeats the save at the end of each of its turns, ending the spell on itself on a success. 
On your later turns, you must take the Magic action to maintain control of the target, or the spell ends_x000D_
</t>
  </si>
  <si>
    <t>Crusader's Mantle.md</t>
  </si>
  <si>
    <t>Cure Wounds.md</t>
  </si>
  <si>
    <t xml:space="preserve">level 1 - #abjuration Casting Time: Action Range: Touch Components: V, S Duration: Instantaneous 
A creature you touch regains a number of Hit Points equal to 2d8 plus your spellcasting ability modifier. 
Using a Higher-Level Spell Slot. The healing increases by 2d8 for each spell slot level above 1_x000D_
</t>
  </si>
  <si>
    <t>Dancing Lights.md</t>
  </si>
  <si>
    <t xml:space="preserve">level 0 - #illusion Casting Time: Action Range: 120 feet Components: V, S, M (a bit of phosphorus) Duration: #Concentration, up to 1 minute 
You create up to four torch-size lights within range, making them appear as torches, lanterns, or glowing orbs that hover for the duration. Alternatively, you combine the four lights into one glowing Medium form that is vaguely humanlike. Whichever form you choose, each light sheds Dim Light in a 10-foot radius. 
As a Bonus Action, you can move the lights up to 60 feet to a space within range. A light must be within 20 feet of another light created by this spell, and a light vanishes if it exceeds the spell's range._x000D_
</t>
  </si>
  <si>
    <t>Darkness.md</t>
  </si>
  <si>
    <t xml:space="preserve">level 2 - #evocation Casting Time: Action Range: 60 feet Components: V, M (bat fur and a piece of coal) Duration: #Concentration, up to 10 minutes 
For the duration, magical Darkness spreads from a point within range and fills a 15-foot-radius Sphere. Darkvision can't see through it, and nonmagical light can't illuminate it. 
Alternatively, you cast the spell on an object that isn't being worn or carried, causing the Darkness to fill a 15-foot Emanation originating from that object. Covering that object with something opaque, such as a bowl or helm, blocks the Darkness.
If any of this spell's area overlaps with an area of Bright Light or Dim Light created by a spell of level 2 or lower, that other spell is dispelled_x000D_
</t>
  </si>
  <si>
    <t>Darkvision.md</t>
  </si>
  <si>
    <t>Daylight.md</t>
  </si>
  <si>
    <t>Death Ward.md</t>
  </si>
  <si>
    <t>Delayed Blast Fireball.md</t>
  </si>
  <si>
    <t xml:space="preserve">level 7 - #evocation Casting Time: Action Range: 150 feet Components: V, S, M (a ball of bat guano and sulfur) Duration: #Concentration, up to 1 minute 
A beam of yellow light flashes from you, then condenses at a chosen point within range as a glowing bead for the duration. When the spell ends, the bead explodes, and each creature in a 20- foot-radius Sphere centered on that point makes a Dexterity saving throw. A creature takes Fire damage equal to the total accumulated damage on a failed save or half as much damage on a successful one. 
The spell's base damage is 12d6, and the damage increases by 1d6 whenever your turn ends and the spell hasn't ended. If a creature touches the glowing bead before the spell ends, that creature makes a Dexterity saving throw. On a failed save, the spell ends, causing the bead to explode. 
On a successful save, the creature can throw the bead up to 40 feet. If the thrown bead enters a creature's space or collides with a solid object, the spell ends, and the bead explodes. 
When the bead explodes, flammable objects in the explosion that aren't being worn or carried start burning. 
Using a Higher-Level Spell Slot. The base damage increases by 1d6 for each spell slot level above 7._x000D_
</t>
  </si>
  <si>
    <t>Demiplane.md</t>
  </si>
  <si>
    <t xml:space="preserve">level 8 - #conjuration Casting Time: Action Range: 60 feet Components: S Duration: 1 hour 
You create a shadowy Medium door on a flat solid surface that you can see within range. This door can be opened and closed, and it leads to a demiplane that is an empty room 30 feet in each dimension, made of wood or stone (your choice). 
When the spell ends, the door vanishes, and any objects inside the demiplane remain there. Any creatures inside also remain unless they opt to be shunted through the door as it vanishes, landing with the Prone condition in the unoccupied spaces closest to the door's former space. 
Each time you cast this spell, you can create a new demiplane or connect the shadowy door to a demiplane you created with a previous casting of this spell. Additionally, if you know the nature and contents of a demiplane created by a casting of this spell by another creature, you can connect the shadowy door to that demiplane instead_x000D_
</t>
  </si>
  <si>
    <t>Destructive Wave.md</t>
  </si>
  <si>
    <t xml:space="preserve">level 5 - #evocation Casting Time: Action Range: Self Components: V Duration: Instantaneous 
Description not available (not OGL)._x000D_
</t>
  </si>
  <si>
    <t>Detect Evil and Good.md</t>
  </si>
  <si>
    <t>Detect Magic.md</t>
  </si>
  <si>
    <t xml:space="preserve">level 1 - #divination ( #ritual ) Casting Time: Action or Ritual Range: Self Components: V, S Duration: #Concentration, up to 10 minutes 
For the duration, you sense the presence of magical effects within 30 feet of yourself. If you sense such effects, you can take the Magic action to see a faint aura around any visible creature or object in the area that bears the magic, and if an effect was created by a spell, you learn the spell's school of magic.
The spell is blocked by 1 foot of stone, dirt, or wood; 1 inch of metal; or a thin sheet of lead_x000D_
</t>
  </si>
  <si>
    <t>Detect Poison and Disease.md</t>
  </si>
  <si>
    <t xml:space="preserve">level 1 - #divination ( #ritual ) Casting Time: Action or Ritual Range: Self Components: V, S, M (a yew leaf) Duration: #Concentration, up to 10 minutes 
For the duration, you sense the location of poisons, poisonous or venomous creatures, and magical contagions within 30 feet of yourself. You sense the kind of poison, creature, or contagion in each case. 
The spell is blocked by 1 foot of stone, dirt, or wood; 1 inch of metal; or a thin sheet of lead_x000D_
</t>
  </si>
  <si>
    <t>Detect Thoughts.md</t>
  </si>
  <si>
    <t xml:space="preserve">level 2 - #divination Casting Time: Action Range: Self Components: V, S, M (a copper piece) Duration: #Concentration, up to 1 minute 
You activate one of the effects below. Until the spell ends, you can activate either effect as a Magic action on your later turns. 
**Sense Thoughts.** You sense the presence of thoughts within 30 feet of yourself that belong to creatures that know languages or are telepathic. You don't read the thoughts, but you know that a thinking creature is present. 
The spell is blocked by 1 foot of stone, dirt, or wood; 1 inch of metal; or a thin sheet of lead. 
**Read Thoughts.** Target one creature you can see within 30 feet of yourself or one creature within 30 feet of yourself that you detected with the Sense Thoughts option. You learn what is most on the target's mind right now. If the target doesn't know any languages and isn't telepathic, you learn nothing. 
As a Magic action on your next turn, you can try to probe deeper into the target's mind. If you probe deeper, the target makes a Wisdom saving throw. On a failed save, you discern the target's reasoning, emotions, and something that looms large in its mind (such as a worry, love, or hate). On a successful save, the spell ends. Either way, the target knows that you are probing into its mind, and until you shift your attention away from the target's mind, the target can take an action on its turn to make an Intelligence (Arcana) check against your spell save DC, ending the spell on a success_x000D_
</t>
  </si>
  <si>
    <t>Dimension Door.md</t>
  </si>
  <si>
    <t xml:space="preserve">level 4 - #conjuration Casting Time: Action Range: 500 feet Components: V Duration: Instantaneous 
You teleport to a location within range. You arrive at exactly the spot desired. It can be a place you can see, one you can visualize, or one you can describe by stating distance and direction, such as "200 feet straight downward" or "300 feet upward to the northwest at a 45-degree angle." 
You can also teleport one willing creature. The creature must be within 5 feet of you when you teleport, and it teleports to a space within 5 feet of your destination space. 
If you, the other creature, or both would arrive in a space occupied by a creature or completely filled by one or more objects, you and any creature traveling with you each take 4d6 Force damage, and the teleportation fails_x000D_
</t>
  </si>
  <si>
    <t>Disguise Self.md</t>
  </si>
  <si>
    <t xml:space="preserve">level 1 - #illusion Casting Time: Action Range: Self Components: V, S Duration: 1 hour 
You make yourselfâ€”including your clothing, armor, weapons, and other belongings on your personâ€”look different until the spell ends. You can seem 1 foot shorter or taller and can appear heavier or lighter. You must adopt a form that has the same basic arrangement of limbs as you have. Otherwise, the extent of the illusion is up to you. 
The changes wrought by this spell fail to hold up to physical inspection. For example, if you use this spell to add a hat to your outfit, objects pass through the hat, and anyone who touches it would feel nothing. 
To discern that you are disguised, a creature must take the Study action to inspect your appearance and succeed on an Intelligence (Investigation) check against your spell save DC_x000D_
</t>
  </si>
  <si>
    <t>Disintegrate.md</t>
  </si>
  <si>
    <t xml:space="preserve">level 6 - #transmutation Casting Time: Action Range: 60 feet Components: V, S, M (a lodestone and dust) Duration: Instantaneous 
You launch a green ray at a target you can see within range. The target can be a creature, a nonmagical object, or a creation of magical force, such as the wall created by Wall of Force. 
A creature targeted by this spell makes a Dexterity saving throw. On a failed save, the target takes 10d6 + 40 Force damage. If this damage reduces it to 0 Hit Points, it and everything nonmagical it is wearing and carrying are disintegrated into gray dust. The target can be revived only by a True Resurrection or a Wish spell. 
This spell automatically disintegrates a Large or smaller nonmagical object or a creation of magical force. If such a target is Huge or larger, this spell disintegrates a 10-foot-Cube portion of it. 
Using a Higher-Level Spell Slot. The damage increases by 3d6 for each spell slot level above 6_x000D_
</t>
  </si>
  <si>
    <t>Dispel Evil and Good.md</t>
  </si>
  <si>
    <t>Dispel Magic.md</t>
  </si>
  <si>
    <t xml:space="preserve">level 3 - #abjuration Casting Time: Action Range: 120 feet Components: V, S Duration: Instantaneous 
Choose one creature, object, or magical effect within range. Any ongoing spell of level 3 or lower on the target ends. For each ongoing spell of level 4 or higher on the target, make an ability check using your spellcasting ability (DC 10 plus that spell's level). On a successful check, the spell ends. 
Using a Higher-Level Spell Slot. You automatically end a spell on the target if the spell's level is equal to or less than the level of the spell slot you use_x000D_
</t>
  </si>
  <si>
    <t>Dissonant Whispers.md</t>
  </si>
  <si>
    <t xml:space="preserve">level 1 - #enchantment Casting Time: Action Range: 60 feet Components: V Duration: Instantaneous 
One creature of your choice that you can see within range hears a discordant melody in its mind. The target makes a Wisdom saving throw. On a failed save, it takes 3d6 Psychic damage and must immediately use its Reaction, if available, to move as far away from you as it can, using the safest route. On a successful save, the target takes half as much damage only. 
Using a Higher-Level Spell Slot. The damage increases by 1d6 for each spell slot level above 1_x000D_
</t>
  </si>
  <si>
    <t>Divination.md</t>
  </si>
  <si>
    <t>Divine Favor.md</t>
  </si>
  <si>
    <t>Divine Smite.md</t>
  </si>
  <si>
    <t>Divine Word.md</t>
  </si>
  <si>
    <t>Dominate Beast.md</t>
  </si>
  <si>
    <t>Dominate Monster.md</t>
  </si>
  <si>
    <t>Dominate Person.md</t>
  </si>
  <si>
    <t>Dragon's Breath.md</t>
  </si>
  <si>
    <t>Drawmij's Instant Summons.md</t>
  </si>
  <si>
    <t xml:space="preserve">level 6 - #conjuration ( #ritual )  Casting Time: 1 minute or Ritual Range: Touch Components: V, S, M (a sapphire worth 1,000+ GP) Duration: Until dispelled 
Description not available (not OGL)_x000D_
</t>
  </si>
  <si>
    <t>Dream.md</t>
  </si>
  <si>
    <t>Druidcraft.md</t>
  </si>
  <si>
    <t>Earthquake.md</t>
  </si>
  <si>
    <t>Eldritch Blast.md</t>
  </si>
  <si>
    <t>Elemental Weapon.md</t>
  </si>
  <si>
    <t xml:space="preserve">level 3 - #transmutation Casting Time: Action Range: Touch Components: V, S Duration: #Concentration, up to 1 hour 
A nonmagical weapon you touch becomes a magic weapon. Choose one of the following damage types: Acid, Cold, Fire, Lightning, or Thunder. For the duration, the weapon has a +1 bonus to attack rolls and deals an extra 1d4 damage of the chosen type when it hits. 
Using a Higher-Level Spell Slot. If you use a level 5-6 spell slot, the bonus to attack rolls increases to +2, and the extra damage increases to 2d4. If you use a level 7+ spell slot, the bonus increases to +3, and the extra damage increases to 3d4_x000D_
</t>
  </si>
  <si>
    <t>Elementalism.md</t>
  </si>
  <si>
    <t xml:space="preserve">level 0 - #transmutation Casting Time: Action Range: 30 feet Components: V, S Duration: Instantaneous 
You exert control over the elements, creating one of the following effects within range: 
**Beckon Air.** You create a breeze strong enough to ripple cloth, stir dust, rustle leaves, and close open doors and shutters, all in a 5-foot Cube. Doors and shutters being held open by someone or something aren't affected. 
**Beckon Earth.** You create a thin shroud of dust or sand that covers surfaces in a 5-foot-square area, or you cause a single word to appear in your handwriting in a patch of dirt or sand. 
**Beckon Fire.** You create a thin cloud of harmless embers and colored, scented smoke in a 5-foot Cube. You choose the color and scent, and the embers can light candles, torches, or lamps in that area. The smoke's scent lingers for 1 minute. 
**Beckon Water.** You create a spray of cool mist that lightly dampens creatures and objects in a 5-foot Cube. Alternatively, you create 1 cup of clean water either in an open container or on a surface, and the water evaporates in 1 minute. 
**Sculpt Element.** You cause dirt, sand, fire, smoke, mist, or water that can fit in a 1-foot Cube to assume a crude shape (such as that of a creature or an object) for 1 hour._x000D_
</t>
  </si>
  <si>
    <t>Enhance Ability.md</t>
  </si>
  <si>
    <t xml:space="preserve">level 2 - #transmutation Casting Time: Action Range: Touch Components: V, S, M (fur or a feather) Duration: #Concentration, up to 1 hour 
You touch a creature and choose Strength, Dexterity, Intelligence, Wisdom, or Charisma. For the duration, the target has Advantage on ability checks using the chosen ability. 
Using a Higher-Level Spell Slot. You can target one additional creature for each spell slot level above 2. You can choose a different ability for each target_x000D_
</t>
  </si>
  <si>
    <t>Enlarge Reduce.md</t>
  </si>
  <si>
    <t xml:space="preserve">level 2 - #transmutation Casting Time: Action Range: 30 feet Components: V, S, M (a pinch of powdered iron) Duration: #Concentration, up to 1 minute 
For the duration, the spell enlarges or reduces a creature or an object you can see within range (see the chosen effect below). A targeted object must be neither worn nor carried. If the target is an unwilling creature, it can make a Constitution saving throw. On a successful save, the spell has no effect. 
Everything that a targeted creature is wearing and carrying changes size with it. Any item it drops returns to normal size at once. A thrown weapon or piece of ammunition returns to normal size immediately after it hits or misses a target. 
**Enlarge.** The target's size increases by one categoryâ€”from Medium to Large, for example. The target also has Advantage on Strength checks and Strength saving throws. The target's attacks with its enlarged weapons or Unarmed Strikes deal an extra 1d4 damage on a hit. 
**Reduce.** The target's size decreases by one categoryâ€”from Medium to Small, for example. The target also has Disadvantage on Strength checks and Strength saving throws. The target's attacks with its reduced weapons or Unarmed Strikes deal 1d4 less damage on a hit (this can't reduce the damage below 1)_x000D_
</t>
  </si>
  <si>
    <t>Ensnaring Strike.md</t>
  </si>
  <si>
    <t>Entangle.md</t>
  </si>
  <si>
    <t>Enthrall.md</t>
  </si>
  <si>
    <t>Etherealness.md</t>
  </si>
  <si>
    <t xml:space="preserve">level 7 - #conjuration Casting Time: Action Range: Self Components: V, S Duration: Up to 8 hours 
You step into the border regions of the Ethereal Plane, where it overlaps with your current plane. You remain in the Border Ethereal for the duration. During this time, you can move in any direction. If you move up or down, every foot of movement costs an extra foot. You can perceive the plane you left, which looks gray, and you can't see anything there more than 60 feet away. While on the Ethereal Plane, you can affect and be affected only by creatures, objects, and effects on that plane. Creatures that aren't on the Ethereal Plane can't perceive or interact with you unless a feature gives them the ability to do so. 
When the spell ends, you return to the plane you left in the spot that corresponds to your space in the Border Ethereal. If you appear in an occupied space, you are shunted to the nearest unoccupied space and take Force damage equal to twice the number of feet you are moved. 
This spell ends instantly if you cast it while you are on the Ethereal Plane or a plane that doesn't border it, such as one of the Outer Planes. 
Using a Higher-Level Spell Slot. You can target up to three willing creatures (including yourself) for each spell slot level above 7. The creatures must be within 10 feet of you when you cast the spell._x000D_
</t>
  </si>
  <si>
    <t>Evard's Black Tentacles.md</t>
  </si>
  <si>
    <t xml:space="preserve">level 4 - #conjuration Casting Time: Action Range: 90 feet Components: V, S, M (a tentacle) Duration: #Concentration, up to 1 minute 
Squirming, ebony tentacles fill a 20-foot square on ground that you can see within range. For the duration, these tentacles turn the ground in that area into Difficult Terrain. 
Each creature in that area makes a Strength saving throw. On a failed save, it takes 3d6 Bludgeoning damage, and it has the Restrained condition until the spell ends. A creature also makes that save if it enters the area or ends it turn there. A creature makes that save only once per turn. 
A Restrained creature can take an action to make a Strength (Athletics) check against your spell save DC, ending the condition on itself on a success._x000D_
</t>
  </si>
  <si>
    <t>Expeditious Retreat.md</t>
  </si>
  <si>
    <t>Eyebite.md</t>
  </si>
  <si>
    <t xml:space="preserve">level 6 - #necromancy Casting Time: Action Range: Self Components: V, S Duration: #Concentration, up to 1 minute 
For the duration, your eyes become an inky void. One creature of your choice within 60 feet of you that you can see must succeed on a Wisdom saving throw or be affected by one of the following effects of your choice for the duration. 
On each of your turns until the spell ends, you can take a Magic action to target another creature but can't target a creature again if it has succeeded on a save against this casting of the spell. 
**Asleep.** The target has the Unconscious condition. It wakes up if it takes any damage or if another creature takes an action to shake it awake. 
**Panicked.** The target has the Frightened condition. On each of its turns, the Frightened target must take the Dash action and move away from you by the safest and shortest route available. If the target moves to a space at least 60 feet away from you where it can't see you, this effect ends. 
**Sickened.** The target has the Poisoned condition_x000D_
</t>
  </si>
  <si>
    <t>Fabricate.md</t>
  </si>
  <si>
    <t xml:space="preserve">level 4 - #transmutation Casting Time: 10 minutes Range: 120 feet Components: V, S Duration: Instantaneous 
You convert raw materials into products of the same material. For example, you can fabricate a wooden bridge from a clump of trees, a rope from a patch of hemp, or clothes from flax or wool. Choose raw materials that you can see within range. You can fabricate a Large or smaller object (contained within a 10-foot Cube or eight connected 5-foot Cubes) given a sufficient quantity of material. If you're working with metal, stone, or another mineral substance, however, the fabricated object can be no larger than Medium (contained within a 5-foot Cube). The quality of any fabricated objects is based on the quality of the raw materials. 
Creatures and magic items can't be created by this spell. You also can't use it to create items that require a high degree of skillâ€”such as weapons and armorâ€”unless you have proficiency with the type of Artisan's Tools used to craft such objects_x000D_
</t>
  </si>
  <si>
    <t>Faerie Fire.md</t>
  </si>
  <si>
    <t xml:space="preserve">level 1 - #evocation Casting Time: Action Range: 60 feet Components: V Duration: #Concentration, up to 1 minute 
Objects in a 20-foot Cube within range are outlined in blue, green, or violet light (your choice). Each creature in the Cube is also outlined if it fails a Dexterity saving throw. For the duration, objects and affected creatures shed Dim Light in a 10-foot radius and can't benefit from the Invisible condition. 
Attack rolls against an affected creature or object have Advantage if the attacker can see it._x000D_
</t>
  </si>
  <si>
    <t>False Life.md</t>
  </si>
  <si>
    <t xml:space="preserve">level 1 - #necromancy Casting Time: Action Range: Self Components: V, S, M (a drop of alcohol) Duration: Instantaneous 
You gain 2d4 + 4 Temporary Hit Points. 
Using a Higher-Level Spell Slot. You gain 5 additional Temporary Hit Points for each spell slot level above 1._x000D_
</t>
  </si>
  <si>
    <t>Fear.md</t>
  </si>
  <si>
    <t>Feather Fall.md</t>
  </si>
  <si>
    <t>Feign Death.md</t>
  </si>
  <si>
    <t>Find Familiar.md</t>
  </si>
  <si>
    <t xml:space="preserve">level 1 - #conjuration ( #ritual ) Casting Time: 1 hour or Ritual Range: 10 feet Components: V, S, M (burning incense worth 10+ GP, which the spell consumes) Duration: Instantaneous 
You gain the service of a familiar, a spirit that takes an animal form you choose: B**at, Cat, Frog, Hawk, Lizard, Octopus, Owl, Rat, Raven, Spider, Weasel,** or another Beast that has a Challenge Rating of 0. Appearing in an unoccupied space within range, the familiar has the statistics of the chosen form, though it is a Celestial, Fey, or Fiend (your choice) instead of a Beast. Your familiar acts independently of you, but it obeys your commands. Telepathic Connection. While your familiar is within 100 feet of you, you can communicate with it telepathically. Additionally, as a Bonus Action, you can see through the familiar's eyes and hear what it hears until the start of your next turn, gaining the benefits of any special senses it has. 
Finally, when you cast a spell with a range of touch, your familiar can deliver the touch. Your familiar must be within 100 feet of you, and it must take a Reaction to deliver the touch when you cast the spell. 
**Combat.** The familiar is an ally to you and your allies. It rolls its own Initiative and acts on its own turn. A familiar can't attack, but it can take other actions as normal. Disappearance of the Familiar. When the familiar drops to 0 Hit Points, it disappears. It reappears after you cast this spell again. As a Magic action, you can temporarily dismiss the familiar to a pocket dimension. Alternatively, you can dismiss it forever. As a Magic action while it is temporarily dismissed, you can cause it to reappear in an unoccupied space within 30 feet of you. Whenever the familiar drops to 0 Hit Points or disappears into the pocket dimension, it leaves behind in its space anything it was wearing or carrying. 
**One Familiar Only.** You can't have more than one familiar at a time. If you cast this spell while you have a familiar, you instead cause it to adopt a new eligible form_x000D_
</t>
  </si>
  <si>
    <t>Find Steed.md</t>
  </si>
  <si>
    <t xml:space="preserve">level 2 - #conjuration Casting Time: Action Range: 30 feet Components: V, S Duration: Instantaneous 
You summon an otherworldly being that appears as a loyal steed in an unoccupied space of your choice within range. This creature uses the **Otherworldly Steed** stat block. If you already have a steed from this spell, the steed is replaced by the new one. The steed resembles a Large, rideable animal of your choice, such as a horse, a camel, a dire wolf, or an elk. Whenever you cast the spell, choose the steed's creature type-Celestial, Fey, or Fiend which determines certain traits in the stat block. 
**Combat.** The steed is an ally to you and your allies. In combat, it shares your Initiative count, and it functions as a controlled mount while you ride it (as defined in the rules on mounted combat). If you have the Incapacitated condition, the steed takes its turn immediately after yours and acts independently, focusing on protecting you. 
**Disappearance of the Steed.** The steed disappears if it drops to 0 Hit Points or if you die. When it disappears, it leaves behind anything it was wearing or carrying. If you cast this spell again, you decide whether you summon the steed that disappeared or a different one. 
Using a Higher-Level Spell Slot. Use the spell slot's level for the spell's level in the stat block._x000D_
</t>
  </si>
  <si>
    <t>Find the Path.md</t>
  </si>
  <si>
    <t xml:space="preserve">level 6 - #divination Casting Time: 1 minute Range: Self Components: V, S, M (a set of divination tools-such as cards or runes-worth 100+ GP) Duration: #Concentration, up to 1 day 
You magically sense the most direct physical route to a location you name. You must be familiar with the location, and the spell fails if you name a destination on another plane of existence, a moving destination (such as a mobile fortress), or an unspecific destination (such as â€œa green dragon's lairâ€). 
For the duration, as long as you are on the same plane of existence as the destination, you know how far it is and in what direction it lies. Whenever you face a choice of paths along the way there, you know which path is the most direct._x000D_
</t>
  </si>
  <si>
    <t>Find Traps.md</t>
  </si>
  <si>
    <t>Finger of Death.md</t>
  </si>
  <si>
    <t xml:space="preserve">level 7 - #necromancy Casting Time: Action Range: 60 feet Components: V, S Duration: Instantaneous 
You unleash negative energy toward a creature you can see within range. The target makes a Constitution saving throw, taking 7d8 + 30 Necrotic damage on a failed save or half as much damage on a successful one. 
A Humanoid killed by this spell rises at the start of your next turn as a Zombie that follows your verbal orders._x000D_
</t>
  </si>
  <si>
    <t>Fire Bolt.md</t>
  </si>
  <si>
    <t xml:space="preserve">level 0 - #evocation Casting Time: Action Range: 120 feet Components: V, S Duration: Instantaneous 
You hurl a mote of fire at a creature or an object within range. Make a ranged spell attack against the target. On a hit, the target takes 1d10 Fire damage. A flammable object hit by this spell starts burning if it isn't being worn or carried. 
**Cantrip Upgrade.** The damage increases by 1d10 when you reach levels 5 (2d10), 11 (3d10), and 17 (4d10)_x000D_
</t>
  </si>
  <si>
    <t>Fire Shield.md</t>
  </si>
  <si>
    <t>Fireball.md</t>
  </si>
  <si>
    <t xml:space="preserve">level 3 - #evocation Casting Time: Action Range: 150 feet Components: V, S, M (a ball of bat guano and sulfur) Duration: Instantaneous 
A bright streak flashes from you to a point you choose within range and then blossoms with a low roar into a fiery explosion. Each creature in a 20-foot-radius Sphere centered on that point makes a Dexterity saving throw, taking 8d6 Fire damage on a failed save or half as much damage on a successful one. Flammable objects in the area that aren't being worn or carried start burning. 
Using a Higher-Level Spell Slot. The damage increases by 1d6 for each spell slot level above 3._x000D_
</t>
  </si>
  <si>
    <t>Flame Blade.md</t>
  </si>
  <si>
    <t>Flame Strike.md</t>
  </si>
  <si>
    <t xml:space="preserve">level 5 - #evocation Casting Time: Action Range: 60 feet Components: V, S, M (a pinch of sulfur) Duration: Instantaneous 
A vertical column of brilliant fire roars down from above. Each creature in a 10-foot-radius, 40-foot-high Cylinder centered on a point within range makes a Dexterity saving throw, taking 5d6 Fire damage and 5d6 Radiant damage on a failed save or half as much damage on a successful one. 
Using a Higher-Level Spell Slot. The Fire damage and the Radiant damage increase by 1d6 for each spell slot level above 5_x000D_
</t>
  </si>
  <si>
    <t>Flaming Sphere.md</t>
  </si>
  <si>
    <t xml:space="preserve">level 2 - #conjuration Casting Time: Action Range: 60 feet Components: V, S, M (a ball of wax) Duration: #Concentration, up to 1 minute 
You create a 5-foot-diameter sphere of fire in an unoccupied space on the ground within range. It lasts for the duration. Any creature that ends its turn within 5 feet of the sphere makes a Dexterity saving throw, taking 2d6 Fire damage on a failed save or half as much damage on a successful one. 
As a Bonus Action, you can move the sphere up to 30 feet, rolling it along the ground. If you move the sphere into a creature's space, that creature makes the save against the sphere, and the sphere stops moving for the turn. 
When you move the sphere, you can direct it over barriers up to 5 feet tall and jump it across pits up to 10 feet wide. Flammable objects that aren't being worn or carried start burning if touched by the sphere, and it sheds Bright Light in a 20-foot radius and Dim Light for an additional 20 feet. 
Using a Higher-Level Spell Slot. The damage increases by 1d6 for each spell slot level above 2._x000D_
</t>
  </si>
  <si>
    <t>Flesh to Stone.md</t>
  </si>
  <si>
    <t>Fly.md</t>
  </si>
  <si>
    <t>Fog Cloud.md</t>
  </si>
  <si>
    <t xml:space="preserve">level 1 - #conjuration Casting Time: Action Range: 120 feet Components: V, S Duration: #Concentration, up to 1 hour 
You create a 20-foot-radius Sphere of fog centered on a point within range. The Sphere is Heavily Obscured. It lasts for the duration or until a strong wind (such as one created by Gust of Wind) disperses it. 
Using a Higher-Level Spell Slot. The fog's radius increases by 20 feet for each spell slot level above 1_x000D_
</t>
  </si>
  <si>
    <t>Forbiddance.md</t>
  </si>
  <si>
    <t>Forcecage.md</t>
  </si>
  <si>
    <t xml:space="preserve">level 7 - #evocation Casting Time: Action Range: 100 feet Components: V, S, M (ruby dust worth 1,500+ GP, which the spell consumes) Duration: 1 hour 
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from the area. 
When you cast the spell, any creature that is completely inside the cage's area is trapped. Creatures only partially within the area, or those too large to fit inside it, are pushed away from the center of the area until they are completely outside it. 
A creature inside the cage can't leave it by nonmagical means. If the creature tries to use teleportation or interplanar travel to leave, it must first make a Charisma saving throw. On a successful save, the creature can use that magic to exit the cage. On a failed save, the creature doesn't exit the cage and wastes the spell or effect. The cage also extends into the Ethereal Plane, blocking ethereal travel. This spell can't be dispelled by Dispel Magic_x000D_
</t>
  </si>
  <si>
    <t>Foresight.md</t>
  </si>
  <si>
    <t xml:space="preserve">level 9 - #divination Casting Time: 1 minute Range: Touch Components: V, S, M (a hummingbird feather) Duration: 8 hours 
You touch a willing creature and bestow a limited ability to see into the immediate future. For the duration, the target has Advantage on D20 Tests, and other creatures have Disadvantage on attack rolls against it. The spell ends early if you cast it again_x000D_
</t>
  </si>
  <si>
    <t>Fount of Moonlight.md</t>
  </si>
  <si>
    <t xml:space="preserve">level 4 - #evocation Casting Time: Action Range: Self Components: V, S Duration: #Concentration, up to 10 minutes 
A cool light wreathes your body for the duration, emitting Bright Light in a 20-foot radius and Dim Light for an additional 20 feet. Until the spell ends, you have Resistance to Radiant damage, and your melee attacks deal an extra 2d6 Radiant damage on a hit.
In addition, immediately after you take damage from a creature you can see within 60 feet of yourself, you can take a Reaction to force the creature to make a Constitution saving throw. On a failed save, the creature has the Blinded condition until the end of your next turn._x000D_
</t>
  </si>
  <si>
    <t>Freedom of Movement.md</t>
  </si>
  <si>
    <t xml:space="preserve">level 4 - #abjuration Casting Time: Action Range: Touch Components: V, S, M (a leather strap) Duration: 1 hour 
You touch a willing creature. For the duration, the target's movement is unaffected by Difficult Terrain, and spells and other magical effects can neither reduce the target's Speed nor cause the target to have the Paralyzed or Restrained conditions. The target also has a Swim Speed equal to its Speed. 
In addition, the target can spend 5 feet of movement to automatically escape from nonmagical restraints, such as manacles or a creature imposing the Grappled condition on it. 
Using a Higher-Level Spell Slot. You can target one additional creature for each spell slot level above 4._x000D_
</t>
  </si>
  <si>
    <t>Friends.md</t>
  </si>
  <si>
    <t xml:space="preserve">level 0 - #enchantment Casting Time: Action Range: 10 feet Components: S, M (some makeup) Duration: #Concentration, up to 1 minute 
You magically emanate a sense of friendship toward one creature you can see within range. The target must succeed on a Wisdom saving throw or have the Charmed condition for the duration. The target succeeds automatically if it isn't a Humanoid, if you're fighting it, or if you have cast this spell on it within the past 24 hours. 
The spell ends early if the target takes damage or if you make an attack roll, deal damage, or force anyone to make a saving throw. When the spell ends, the target knows it was Charmed by you._x000D_
</t>
  </si>
  <si>
    <t>Gaseous Form.md</t>
  </si>
  <si>
    <t xml:space="preserve">level 3 - #transmutation Casting Time: Action Range: Touch Components: V, S, M (a bit of gauze) Duration: #Concentration, up to 1 hour 
A willing creature you touch shape-shifts, along with everything it's wearing and carrying, into a misty cloud for the duration. The spell ends on the target if it drops to 0 Hit Points or if it takes a Magic action to end the spell on itself. 
While in this form, the target's only method of movement is a Fly Speed of 10 feet, and it can hover. The target can enter and occupy the space of another creature. The target has Resistance to Bludgeoning, Piercing, and Slashing damage; it has Immunity to the Prone condition; and it has Advantage on Strength, Dexterity, and Constitution saving throws. The target can pass through narrow openings, but it treats liquids as though they were solid surfaces. 
The target can't talk or manipulate objects, and any objects it was carrying or holding can't be dropped, used, or otherwise interacted with. Finally, the target can't attack or cast spells. 
Using a Higher-Level Spell Slot. You can target one additional creature for each spell slot level above 3._x000D_
</t>
  </si>
  <si>
    <t>Gate.md</t>
  </si>
  <si>
    <t xml:space="preserve">level 9 - #conjuration Casting Time: Action Range: 60 feet Components: V, S, M (a diamond worth 5,000+ GP) Duration: #Concentration, up to 1 minute 
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and the portal's destination is visible through it.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next to the named creature and transports it to the nearest unoccupied space on your side of the portal. You gain no special power over the creature, and it is free to act as the DM deems appropriate. It might leave, attack you, or help you_x000D_
</t>
  </si>
  <si>
    <t>Geas.md</t>
  </si>
  <si>
    <t xml:space="preserve">level 5 - #enchantment Casting Time: 1 minute Range: 60 feet Components: V Duration: 30 days 
You give a verbal command to a creature that you can see within range, ordering it to carry out some service or refrain from an action or a course of activity as you decide. The target must succeed on a Wisdom saving throw or have the Charmed condition for the duration. The target automatically succeeds if it can't understand your command. 
While Charmed, the creature takes 5d10 Psychic damage if it acts in a manner directly counter to your command. It takes this damage no more than once each day. 
You can issue any command you choose, short of an activity that would result in certain death. Should you issue a suicidal command, the spell ends. 
A *Remove Curse, Greater Restoration,* or *Wish* spell ends this spell. 
Using a Higher-Level Spell Slot. If you use a level 7 or 8 spell slot, the duration is 365 days. If you use a level 9 spell slot, the spell lasts until it is ended by one of the spells mentioned above._x000D_
</t>
  </si>
  <si>
    <t>Gentle Repose.md</t>
  </si>
  <si>
    <t>Giant Insect.md</t>
  </si>
  <si>
    <t xml:space="preserve">level 4 - #conjuration Casting Time: Action Range: 60 feet Components: V, S Duration: #Concentration, up to 10 minutes 
You summon a giant centipede, spider, or wasp (chosen when you cast the spell). It manifests in an unoccupied space you can see within range and uses the **Giant Insect** stat block. The form you choose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</si>
  <si>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Glibness.md</t>
  </si>
  <si>
    <t xml:space="preserve">level 8 - #enchantment Casting Time: Action Range: Self Components: V Duration: 1 hour 
Until the spell ends, when you make a Charisma check, you can replace the number you roll with a 15. Additionally, no matter what you say, magic that would determine if you are telling the truth indicates that you are being truthful._x000D_
</t>
  </si>
  <si>
    <t>Globe of Invulnerability.md</t>
  </si>
  <si>
    <t>Glyph of Warding.md</t>
  </si>
  <si>
    <t>Goodberry.md</t>
  </si>
  <si>
    <t>Grasping Vine.md</t>
  </si>
  <si>
    <t>Grease.md</t>
  </si>
  <si>
    <t xml:space="preserve">level 1 - #conjuration Casting Time: Action Range: 60 feet Components: V, S, M (a bit of pork rind or butter) Duration: 1 minute 
Nonflammable grease covers the ground in a 10-foot square centered on a point within range and turns it into Difficult Terrain for the duration. 
When the grease appears, each creature standing in its area must succeed on a Dexterity saving throw or have the Prone condition. A creature that enters the area or ends its turn there must also succeed on that save or fall Prone._x000D_
</t>
  </si>
  <si>
    <t>Greater Invisibility.md</t>
  </si>
  <si>
    <t>Greater Restoration.md</t>
  </si>
  <si>
    <t xml:space="preserve">level 5 - #abjuration Casting Time: Action Range: Touch Components: V, S, M (diamond dust worth 100+ GP, which the spell consumes) Duration: Instantaneous 
You touch a creature and magically remove one of the following effects from it: 
â€¢ 1 Exhaustion level 
â€¢ The Charmed or Petrified condition 
â€¢ A curse, including the target's Attunement to a cursed magic item 
â€¢ Any reduction to one of the target's ability scores 
â€¢ Any reduction to the target's Hit Point maximum_x000D_
</t>
  </si>
  <si>
    <t>Guardian of Faith.md</t>
  </si>
  <si>
    <t xml:space="preserve">level 4 - #conjuration Casting Time: Action Range: 30 feet Components: V Duration: 8 hours 
A Large spectral guardian appears and hovers for the duration in an unoccupied space that you can see within range. The guardian occupies that space and is invulnerable, and it appears in a form appropriate for your deity or pantheon. 
Any enemy that moves to a space within 10 feet of the guardian for the first time on a turn or starts its turn there makes a Dexterity saving throw, taking 20 Radiant damage on a failed save or half as much damage on a successful one. The guardian vanishes when it has dealt a total of 60 damage_x000D_
</t>
  </si>
  <si>
    <t>Guards and Wards.md</t>
  </si>
  <si>
    <t xml:space="preserve">level 6 - #abjuration Casting Time: 1 hour Range: Touch Components: V, S, M (a silver rod worth 10+ GP) Duration: 24 hours 
You create a ward that protects up to 2,500 square feet of floor space. The warded area can be up to 20 feet tall, and you shape it as one 50-foot square, one hundred 5-foot squares that are contiguous, or twenty-five 10-foot squares that are contiguous. When you cast this spell, you can specify individuals that are unaffected by the spell's effects. You can also specify a password that, when spoken aloud within 5 feet of the warded area, makes the speaker immune to its effects. The spell creates the effects below within the warded area. Dispel Magic has no effect on Guards and Wards itself, but each of the following effects can be dispelled. If all four are dispelled, Guards and Wards ends. If you cast the spell every day for 365 days on the same area, the spell thereafter lasts until all its effects are dispelled. 
**Corridors.** Fog fills all the warded corridors, making them Heavily Obscured. In addition, at each intersection or branching passage offering a choice of direction, there is a 50 percent chance that a creature other than you believes it is going in the opposite direction from the one it chooses. 
**Doors.** All doors in the warded area are magically locked, as if sealed by the Arcane Lock spell. In addition, you can cover up to ten doors with an illusion to make them appear as plain sections of wall. Stairs. Webs fill all stairs in the warded area from top to bottom, as in the Web spell. These strands regrow in 10 minutes if they are destroyed while Guards and Wards lasts. 
**Other Spell Effect.** Place one of the following magical effects within the warded area: 
â€¢ Dancing Lights in four corridors, with a simple program that the lights repeat as long as Guards and Wards lasts 
â€¢ &gt;Magic Mouth in two locations 
â€¢ Stinking Cloud in two locations (the vapors return within 10 minutes if dispersed while Guards and Wards lasts) 
â€¢ Gust of Wind in one corridor or room (the wind blows continuously while the spell lasts) 
â€¢ Suggestion in one 5-foot square; any creature that enters that square receives the suggestion mentally_x000D_
</t>
  </si>
  <si>
    <t>Guidance.md</t>
  </si>
  <si>
    <t xml:space="preserve">level 0 - #divination Casting Time: Action Range: Touch Components: V, S Duration: #Concentration, up to 1 minute 
You touch a willing creature and choose a skill. Until the spell ends, the creature adds 1d4 to any ability check using the chosen skill._x000D_
</t>
  </si>
  <si>
    <t>Guiding Bolt.md</t>
  </si>
  <si>
    <t xml:space="preserve">level 1 - #evocation Casting Time: Action Range: 120 feet Components: V, S Duration: 1 round 
You hurl a bolt of light toward a creature within range. Make a ranged spell attack against the target. On a hit, it takes 4d6 Radiant damage, and the next attack roll made against it before the end of your next turn has Advantage. 
Using a Higher-Level Spell Slot. The damage increases by 1d6 for each spell slot level above 1._x000D_
</t>
  </si>
  <si>
    <t>Gust of Wind.md</t>
  </si>
  <si>
    <t>Hail of Thorns.md</t>
  </si>
  <si>
    <t>Hallow.md</t>
  </si>
  <si>
    <t xml:space="preserve">level 5 - #abjuration Casting Time: 24 hours Range: Touch Components: V, S, M (incense worth 1,000+ GP, which the spell consumes) Duration: Until dispelled 
You touch a point and infuse an area around it with holy or unholy power. The area can have a radius up to 60 feet, and the spell fails if the radius includes an area already under the effect of Hallow. The affected area has the following effects. 
**Hallowed Ward.** Choose any of these creature types: Aberration, Celestial, Elemental, Fey, Fiend, or Undead. Creatures of the chosen types can't willingly enter the area, and any creature that is possessed by or that has the Charmed or Frightened condition from such creatures isn't possessed, Charmed, or Frightened by them while in the area. 
**Extra Effect.** You bind an extra effect to the area from the list below:
**Courage.** Creatures of any types you choose can't gain the Frightened condition while in the area. 
**Darkness.** Darkness fills the area. Normal light, as well as magical light created by spells of a level lower than this spell, can't illuminate the area. 
**Daylight.** Bright light fills the area. Magical Darkness created by spells of a level lower than this spell can't extinguish the light. 
**Peaceful Rest.** Dead bodies interred in the area can't be turned into Undead. 
**Extradimensional Interference.** Creatures of any types you choose can't enter or exit the area using teleportation or interplanar travel. 
**Fear.** Creatures of any types you choose have the Frightened condition while in the area. 
**Resistance.** Creatures of any types you choose have Resistance to one damage type of your choice while in the area. 
**Silence.** No sound can emanate from within the area, and no sound can reach into it. 
**Tongues.** Creatures of any types you choose can communicate with any other creature in the area even if they don't share a common language. 
**Vulnerability.** Creatures of any types you choose have Vulnerability to one damage type of your choice while in the area._x000D_
</t>
  </si>
  <si>
    <t>Hallucinatory Terrain.md</t>
  </si>
  <si>
    <t xml:space="preserve">level 4 - #illusion Casting Time: 10 minutes Range: 300 feet Components: V, S, M (a mushroom) Duration: 24 hours 
You make natural terrain in a 150-foot Cube in range look, sound, and smell like another sort of natural terrain. Thus, open fields or a road can be made to resemble a swamp, hill, crevasse, or some other difficult or impassable terrain. A pond can be made to seem like a grassy meadow, a precipice like a gentle slope, or a rock- strewn gully like a wide and smooth road. Manufactured structures, equipment, and creatures within the area aren't changed. 
The tactile characteristics of the terrain are unchanged, so creatures entering the area are likely to notice the illusion. If the difference isn't obvious by touch, a creature examining the illusion can take the Study action to make an Intelligence (Investigation) check against your spell save DC to disbelieve it. If a creature discerns that the terrain is illusory, the creature sees a vague image superimposed on the real terrain._x000D_
</t>
  </si>
  <si>
    <t>Harm.md</t>
  </si>
  <si>
    <t xml:space="preserve">level 6 - #necromancy Casting Time: Action Range: 60 feet Components: V, S Duration: Instantaneous 
You unleash virulent magic on a creature you can see within range. The target makes a Constitution saving throw. On a failed save, it takes 14d6 Necrotic damage, and its Hit Point maximum is reduced by an amount equal to the Necrotic damage it took. On a successful save, it takes half as much damage only. This spell can't reduce a target's Hit Point maximum below 1._x000D_
</t>
  </si>
  <si>
    <t>Haste.md</t>
  </si>
  <si>
    <t xml:space="preserve">level 3 - #transmutation Casting Time: Action Range: 30 feet Components: V, S, M (a shaving of licorice root) Duration: #Concentration, up to 1 minute 
Choose a willing creature that you can see within range. Until the spell ends, the target's Speed is doubled, it gains a +2 bonus to Armor Class, it has Advantage on Dexterity saving throws, and it gains an additional action on each of its turns. That action can be used to take only the Attack (one attack only), Dash, Disengage, Hide, or Utilize action. 
When the spell ends, the target is Incapacitated and has a Speed of 0 until the end of its next turn, as a wave of lethargy washes over it._x000D_
</t>
  </si>
  <si>
    <t>Heal.md</t>
  </si>
  <si>
    <t xml:space="preserve">level 6 - #abjuration Casting Time: Action Range: 60 feet Components: V, S Duration: Instantaneous 
Choose a creature that you can see within range. Positive energy washes through the target, restoring 70 Hit Points. This spell also ends the Blinded, Deafened, and Poisoned conditions on the target. 
Using a Higher-Level Spell Slot. The healing increases by 10 for each spell slot level above 6._x000D_
</t>
  </si>
  <si>
    <t>Healing Word.md</t>
  </si>
  <si>
    <t>Heat Metal.md</t>
  </si>
  <si>
    <t xml:space="preserve">level 2 - #transmutation Casting Time: Action Range: 60 feet Components: V, S, M (a piece of iron and a flame) Duration: #Concentration, up to 1 minute 
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take a Bonus Action on each of your later turns to deal this damage again if the object is within range.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 
Using a Higher-Level Spell Slot. The damage increases by 1d8 for each spell slot level above 2._x000D_
</t>
  </si>
  <si>
    <t>Hellish Rebuke.md</t>
  </si>
  <si>
    <t xml:space="preserve">level 1 - #evocation Casting Time: #Reaction, which you take in response to taking damage from a creature that you can see within 60 feet of yourself Range: 60 feet Components: V, S Duration: Instantaneous 
The creature that damaged you is momentarily surrounded by green flames. It makes a Dexterity saving throw, taking 2d10 Fire damage on a failed save or half as much damage on a successful one. 
Using a Higher-Level Spell Slot. The damage increases by 1d10 for each spell slot level above 1._x000D_
</t>
  </si>
  <si>
    <t>Heroes' Feast.md</t>
  </si>
  <si>
    <t xml:space="preserve">level 6 - #conjuration Casting Time: 10 minutes Range: Self Components: V, S, M (a gem-encrusted bowl worth 1,000+ GP, which the spell consumes) Duration: Instantaneous 
You conjure a feast that appears on a surface in an unoccupied 10- foot Cube next to you. The feast takes 1 hour to consume and disappears at the end of that time, and the beneficial effects don't set in until this hour is over. Up to twelve creatures can partake of the feast. 
A creature that partakes gains several benefits, which last for 24 hours. The creature has Resistance to Poison damage, and it has Immunity to the Frightened and Poisoned conditions. Its Hit Point maximum also increases by 2d10, and it gains the same number of Hit Points._x000D_
</t>
  </si>
  <si>
    <t>Heroism.md</t>
  </si>
  <si>
    <t xml:space="preserve">level 1 - #enchantment Casting Time: Action Range: Touch Components: V, S Duration: #Concentration, up to 1 minute 
A willing creature you touch is imbued with bravery. Until the spell ends, the creature is immune to the Frightened condition and gains Temporary Hit Points equal to your spellcasting ability modifier at the start of each of its turns. 
Using a Higher-Level Spell Slot. You can target one additional creature for each spell slot level above 1._x000D_
</t>
  </si>
  <si>
    <t>Hex.md</t>
  </si>
  <si>
    <t>Hold Monster.md</t>
  </si>
  <si>
    <t xml:space="preserve">level 5 - #enchantment Casting Time: Action Range: 90 feet Components: V, S, M (a straight piece of iron) Duration: #Concentration, up to 1 minute 
Choose a creature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creature for each spell slot level above 5._x000D_
</t>
  </si>
  <si>
    <t>Hold Person.md</t>
  </si>
  <si>
    <t xml:space="preserve">level 2 - #enchantment Casting Time: Action Range: 60 feet Components: V, S, M (a straight piece of iron) Duration: #Concentration, up to 1 minute 
Choose a Humanoid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Humanoid for each spell slot level above 2._x000D_
</t>
  </si>
  <si>
    <t>Holy Aura.md</t>
  </si>
  <si>
    <t xml:space="preserve">level 8 - #abjuration Casting Time: Action Range: Self Components: V, S, M (a reliquary worth 1,000+ GP) Duration: #Concentration, up to 1 minute 
For the duration, you emit an aura in a 30-foot Emanation. While in the aura, creatures of your choice have Advantage on all saving throws, and other creatures have Disadvantage on attack rolls against them. In addition, when a Fiend or an Undead hits an affected creature with a melee attack roll, the attacker must succeed on a Constitution saving throw or have the Blinded condition until the end of its next turn._x000D_
</t>
  </si>
  <si>
    <t>Hunger of Hadar.md</t>
  </si>
  <si>
    <t>Hunter's Mark.md</t>
  </si>
  <si>
    <t>Hypnotic Pattern.md</t>
  </si>
  <si>
    <t xml:space="preserve">level 3 - #illusion Casting Time: Action Range: 120 feet Components: S, M (a pinch of confetti) Duration: #Concentration, up to 1 minute 
You create a twisting pattern of colors in a 30-foot Cube within range. The pattern appears for a moment and vanishes. Each creature in the area who can see the pattern must succeed on a Wisdom saving throw or have the Charmed condition for the duration. While Charmed, the creature has the Incapacitated condition and a Speed of 0. 
The spell ends for an affected creature if it takes any damage or if someone else uses an action to shake the creature out of its stupor._x000D_
</t>
  </si>
  <si>
    <t>Ice Knife.md</t>
  </si>
  <si>
    <t xml:space="preserve">level 1 - #conjuration Casting Time: Action Range: 60 feet Components: S, M (a drop of water or a piece of ice) Duration: Instantaneous 
You create a shard of ice and fling it at one creature within range. Make a ranged spell attack against the target. On a hit, the target takes 1d10 Piercing damage. Hit or miss, the shard then explodes. The target and each creature within 5 feet of it must succeed on a Dexterity saving throw or take 2d6 Cold damage. 
Using a Higher-Level Spell Slot. The Cold damage increases by 1d6 for each spell slot level above 1_x000D_
</t>
  </si>
  <si>
    <t>Ice Storm.md</t>
  </si>
  <si>
    <t xml:space="preserve">level 4 - #evocation Casting Time: Action Range: 300 feet Components: V, S, M (a mitten) Duration: Instantaneous 
Hail falls in a 20-foot-radius, 40-foot-high Cylinder centered on a point within range. Each creature in the Cylinder makes a Dexterity saving throw. A creature takes 2d10 Bludgeoning damage and 4d6 Cold damage on a failed save or half as much damage on a successful one. 
Hailstones turn ground in the Cylinder into Difficult Terrain until the end of your next turn. 
Using a Higher-Level Spell Slot. The Bludgeoning damage increases by 1d10 for each spell slot level above 4_x000D_
</t>
  </si>
  <si>
    <t>Imprisonment.md</t>
  </si>
  <si>
    <t xml:space="preserve">level 9 - #abjuration Casting Time: 1 minute Range: 30 feet Components: V, S, M (a statuette of the target worth 5,000+ GP) Duration: Until dispelled 
You create a magical restraint to hold a creature that you can see within range. The target must make a Wisdom saving throw. On a successful save, the target is unaffected, and it is immune to this spell for the next 24 hours. On a failed save, the target is imprisoned. While imprisoned, the target doesn't need to breathe, eat, or drink, and it doesn't age. Divination spells can't locate or perceive the imprisoned target, and the target can't teleport. Until the spell ends, the target is also affected by one of the following effects of your choice: 
**Burial.** The target is entombed beneath the earth in a hollow globe of magical force that is just large enough to contain the target. Nothing can pass into or out of the globe. 
**Chaining.** Chains firmly rooted in the ground hold the target in place. The target has the Restrained condition and can't be moved by any means. 
**Hedged Prison.** The target is trapped in a demiplane that is warded against teleportation and planar travel. The demiplane is your choice of a labyrinth, a cage, a tower, or the like. 
**Minimus Containment.** The target becomes 1 inch tall and is trapped inside an indestructible gemstone or a similar object. Light can pass through the gemstone (allowing the target to see out and other creatures to see in), but nothing else can pass through by any means. 
**Slumber.** The target has the Unconscious condition and can't be awoken. 
**Ending the Spell.** When you cast the spell, specify a trigger that will end it. The trigger can be as simple or as elaborate as you choose, but the DM must agree that it has a high likelihood of happening within the next decade. The trigger must be an observable action, such as someone making a particular offering at the temple of your god, saving your true love, or defeating a specific monster. 
A Dispel Magic spell can end the spell only if it is cast with a level 9 spell slot, targeting either the prison or the component used to create it._x000D_
</t>
  </si>
  <si>
    <t>Incendiary CLoud.md</t>
  </si>
  <si>
    <t xml:space="preserve">level 8 - #conjuration Casting Time: Action Range: 150 feet Components: V, S Duration: #Concentration, up to 1 minute 
A swirling cloud of embers and smoke fills a 20-foot-radius Sphere centered on a point within range. The cloud's area is Heavily Obscured. It lasts for the duration or until a strong wind (like that created by Gust of Wind) disperses it. 
When the cloud appears, each creature in it makes a Dexterity saving throw, taking 10d8 Fire damage on a failed save or half as much damage on a successful one. A creature must also make this save when the Sphere moves into its space and when it enters the Sphere or ends its turn there. A creature makes this save only once per turn. 
The cloud moves 10 feet away from you in a direction you choose at the start of each of your turns._x000D_
</t>
  </si>
  <si>
    <t>Inflict Wounds.md</t>
  </si>
  <si>
    <t>Insect Plague.md</t>
  </si>
  <si>
    <t xml:space="preserve">level 5 - #conjuration Casting Time: Action Range: 300 feet Components: V, S, M (a locust) Duration: #Concentration, up to 10 minutes 
Swarming locusts fill a 20-foot-radius Sphere centered on a point you choose within range. The Sphere remains for the duration, and its area is Lightly Obscured and Difficult Terrain. 
When the swarm appears, each creature in it makes a Constitution saving throw, taking 4d10 Piercing damage on a failed save or half as much damage on a successful one. A creature also makes this save when it enters the spell's area for the first time on a turn or ends its turn there. A creature makes this save only once per turn. 
Using a Higher-Level Spell Slot. The damage increases by 1d10 for each spell slot level above 5._x000D_
</t>
  </si>
  <si>
    <t>Invisibility.md</t>
  </si>
  <si>
    <t>Jallarzi's Storm of Radiance.md</t>
  </si>
  <si>
    <t>Jump.md</t>
  </si>
  <si>
    <t>Knock.md</t>
  </si>
  <si>
    <t>Legend Lore.md</t>
  </si>
  <si>
    <t xml:space="preserve">level 5 - #divination Casting Time: 10 minutes Range: Self Components: V, S, M (incense worth 250+ GP, which the spell consumes, and four ivory strips worth 50+ GP each) Duration: Instantaneous 
Name or describe a famous person, place, or object. The spell brings to your mind a brief summary of the significant lore about that famous thing, as described by the DM. 
The lore might consist of important details, amusing revelations, or even secret lore that has never been widely known. The more information you already know about the thing, the more precise and detailed the information you receive is. That information is accurate but might be couched in figurative language or poetry, as determined by the DM. 
If the famous thing you chose isn't actually famous, you hear sad musical notes played on a trombone, and the spell fails_x000D_
</t>
  </si>
  <si>
    <t>Leomund's Secret Chest.md</t>
  </si>
  <si>
    <t xml:space="preserve">level 4 - #conjuration Casting Time: Action Range: Touch Components: V, S, M (a chest, 3 feet by 2 feet by 2 feet, constructed from rare materials worth 5,000+ GP, and a Tiny replica of the chest made from the same materials worth 50+ GP) Duration: Instantaneous 
You hide a chest and all its contents on the Ethereal Plane. You must touch the chest and the miniature replica that serve as Material components for the spell. The chest can contain up to 12 cubic feet of nonliving material (3 feet by 2 feet by 2 feet). 
While the chest remains on the Ethereal Plane, you can take a Magic action and touch the replica to recall the chest. It appears in an unoccupied space on the ground within 5 feet of you. You can send the chest back to the Ethereal Plane by taking a Magic action to touch the chest and the replica. 
After 60 days, there is a cumulative 5 percent chance at the end of each day that the spell ends. The spell also ends if you cast this spell again or if the Tiny replica chest is destroyed. If the spell ends and the larger chest is on the Ethereal Plane, the chest remains there for you or someone else to find._x000D_
</t>
  </si>
  <si>
    <t>Leomund's Tiny Hut.md</t>
  </si>
  <si>
    <t>Lesser Restoration.md</t>
  </si>
  <si>
    <t>Levitate.md</t>
  </si>
  <si>
    <t>Light.md</t>
  </si>
  <si>
    <t xml:space="preserve">level 0 - #evocation Casting Time: Action Range: Touch Components: V, M (a firefly or phosphorescent moss) Duration: 1 hour 
You touch one Large or smaller object that isn't being worn or carried by someone else. Until the spell ends, the object sheds Bright Light in a 20-foot radius and Dim Light for an additional 20 feet. The light can be colored as you like. 
Covering the object with something opaque blocks the light. The spell ends if you cast it again._x000D_
</t>
  </si>
  <si>
    <t>Lightning Arrow.md</t>
  </si>
  <si>
    <t>Lightning Bolt.md</t>
  </si>
  <si>
    <t xml:space="preserve">level 3 - #evocation Casting Time: Action Range: Self Components: V, S, M (a bit of fur and a crystal rod) Duration: Instantaneous 
A stroke of lightning forming a 100-foot-long, 5-foot-wide Line blasts out from you in a direction you choose. Each creature in the Line makes a Dexterity saving throw, taking 8d6 Lightning damage on a failed save or half as much damage on a successful one. 
Using a Higher-Level Spell Slot. The damage increases by 1d6 for each spell slot level above 3._x000D_
</t>
  </si>
  <si>
    <t>Locate Animals or Plants.md</t>
  </si>
  <si>
    <t xml:space="preserve">level 2 - #divination ( #ritual ) Casting Time: Action or Ritual Range: Self Components: V, S, M (fur from a bloodhound) Duration: Instantaneous 
Describe or name a specific kind of Beast, Plant creature, or nonmagical plant. You learn the direction and distance to the closest creature or plant of that kind within 5 miles, if any are present_x000D_
</t>
  </si>
  <si>
    <t>Locate Creature.md</t>
  </si>
  <si>
    <t xml:space="preserve">level 4 - #divination Casting Time: Action Range: Self Components: V, S, M (fur from a bloodhound) Duration: #Concentration, up to 1 hour 
Describe or name a creature that is familiar to you. You sense the direction to the creature's location if that creature is within 1,000 feet of you. If the creature is moving, you know the direction of its movement. 
The spell can locate a specific creature known to you or the nearest creature of a specific kind (such as a human or a unicorn) if you have seen such a creature up closeâ€”within 30 feetâ€”at least once. If the creature you described or named is in a different form, such as under the effects of a Flesh to Stone or Polymorph spell, this spell doesn't locate the creature. 
This spell can't locate a creature if any thickness of lead blocks a direct path between you and the creature_x000D_
</t>
  </si>
  <si>
    <t>Locate Object.md</t>
  </si>
  <si>
    <t xml:space="preserve">level 2 - #divination Casting Time: Action Range: Self Components: V, S, M (a forked twig) Duration: #Concentration, up to 10 minutes 
Describe or name an object that is familiar to you. You sense the direction to the object's location if that object is within 1,000 feet of you. If the object is in motion, you know the direction of its movement. 
The spell can locate a specific object known to you if you have seen it up closeâ€”within 30 feetâ€”at least once. Alternatively, the spell can locate the nearest object of a particular kind, such as a certain kind of apparel, jewelry, furniture, tool, or weapon. 
This spell can't locate an object if any thickness of lead blocks a direct path between you and the object_x000D_
</t>
  </si>
  <si>
    <t>Longstrider.md</t>
  </si>
  <si>
    <t xml:space="preserve">level 1 - #transmutation Casting Time: Action Range: Touch Components: V, S, M (a pinch of dirt) Duration: 1 hour 
You touch a creature. The target's Speed increases by 10 feet until the spell ends. 
Using a Higher-Level Spell Slot. You can target one additional creature for each spell slot level above 1_x000D_
</t>
  </si>
  <si>
    <t>Mage Armor.md</t>
  </si>
  <si>
    <t xml:space="preserve">level 1 - #abjuration Casting Time: Action Range: Touch Components: V, S, M (a piece of cured leather) Duration: 8 hours 
You touch a willing creature who isn't wearing armor. Until the spell ends, the target's base AC becomes 13 plus its Dexterity modifier. The spell ends early if the target dons armor_x000D_
</t>
  </si>
  <si>
    <t>Mage Hand.md</t>
  </si>
  <si>
    <t xml:space="preserve">level 0 - #conjuration Casting Time: Action Range: 30 feet Components: V, S Duration: 1 minute 
A spectral, floating hand appears at a point you choose within range. The hand lasts for the duration. The hand vanishes if it is ever more than 30 feet away from you or if you cast this spell again. When you cast the spell, you can use the hand to manipulate an object, open an unlocked door or container, stow or retrieve an item from an open container, or pour the contents out of a vial. 
As a Magic action on your later turns, you can control the hand thus again. As part of that action, you can move the hand up to 30 feet.
The hand can't attack, activate magic items, or carry more than 10 pounds_x000D_
</t>
  </si>
  <si>
    <t>Magic Circle.md</t>
  </si>
  <si>
    <t xml:space="preserve">level 3 - #abjuration Casting Time: 1 minute Range: 10 feet Components: V, S, M (salt and powdered silver worth 100+ GP, which the spell consumes) Duration: 1 hour 
You create a 10-foot-radius, 20-foot-tall Cylinder of magical energy centered on a point on the ground that you can see within range. Glowing runes appear wherever the Cylinder intersects with the floor or other surface. 
Choose one or more of the following types of creatures: Celestials, Elementals, Fey, Fiends, or Undead. The circle affects a creature of the chosen type in the following ways: 
â€¢ The creature can't willingly enter the Cylinder by nonmagical means. If the creature tries to use teleportation or interplanar travel to do so, it must first succeed on a Charisma saving throw. 
â€¢ The creature has Disadvantage on attack rolls against targets within the Cylinder. 
â€¢ Targets within the Cylinder can't be possessed by or gain the Charmed or Frightened condition from the creature. 
Each time you cast this spell, you can cause its magic to operate in the reverse direction, preventing a creature of the specified type from leaving the Cylinder and protecting targets outside it. 
Using a Higher-Level Spell Slot. The duration increases by 1 hour for each spell slot level above 3_x000D_
</t>
  </si>
  <si>
    <t>Magic Jar.md</t>
  </si>
  <si>
    <t xml:space="preserve">level 6 - #necromancy Casting Time: 1 minute Range: Self Components: V, S, M (a gem, crystal, or reliquary worth 500+ GP) Duration: Until dispelled 
Your body falls into a catatonic state as your soul leaves it and enters the container you used for the spell's Material component. While your soul inhabits the container, you are aware of your surroundings as if you were in the container's space. You can't move or take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 can't be possessed). The target makes a Charisma saving throw. On a failed save, your soul enters the target's body, and the target's soul becomes trapped in the container. On a successful save, the target resists your efforts to possess it, and you can't attempt to possess it again for 24 hours. Once you possess a creature's body, you control it. Your Hit Points, Hit Point Dice, Strength, Dexterity, Constitution, Speed, and senses are replaced by the creature's. You otherwise keep your game statistics. 
Meanwhile, the possessed creature's soul can perceive from the container using its own senses, but it can't move and it is Incapacitated. 
While possessing a body, you can take a Magic action to return from the host body to the container if it is within 100 feet of you, returning the host creature's soul to its body. If the host body dies while you're in it, the creature dies, and you make a Charisma saving throw against your own spellcasting DC. On a success, you return to the container if it is within 100 feet of you. Otherwise, you die. 
If the container is destroyed or the spell ends, your soul returns to your body. If your body is more than 100 feet away from you or if your body is dead, you die. If another creature's soul is in the container when it is destroyed, the creature's soul returns to its body if the body is alive and within 100 feet. Otherwise, that creature dies.
When the spell ends, the container is destroyed_x000D_
</t>
  </si>
  <si>
    <t>Magic Missile.md</t>
  </si>
  <si>
    <t xml:space="preserve">level 1 - #evocation Casting Time: Action Range: 120 feet Components: V, S Duration: Instantaneous 
You create three glowing darts of magical force. Each dart strikes a creature of your choice that you can see within range. A dart deals 1d4 + 1 Force damage to its target. The darts all strike simultaneously, and you can direct them to hit one creature or several. 
Using a Higher-Level Spell Slot. The spell creates one more dart for each spell slot level above 1._x000D_
</t>
  </si>
  <si>
    <t>Magic Mouth.md</t>
  </si>
  <si>
    <t>Magic Weapon.md</t>
  </si>
  <si>
    <t>Major Image.md</t>
  </si>
  <si>
    <t>Mass Cure Wounds.md</t>
  </si>
  <si>
    <t>Mass Heal.md</t>
  </si>
  <si>
    <t xml:space="preserve">level 9 - #abjuration Casting Time: Action Range: 60 feet Components: V, S Duration: Instantaneous 
A flood of healing energy flows from you into creatures around you. You restore up to 700 Hit Points, divided as you choose among any number of creatures that you can see within range. Creatures healed by this spell also have the Blinded, Deafened, and Poisoned conditions removed from them._x000D_
</t>
  </si>
  <si>
    <t>Mass Healing Word.md</t>
  </si>
  <si>
    <t>Mass Suggestion.md</t>
  </si>
  <si>
    <t xml:space="preserve">level 6 - #enchantment Casting Time: Action Range: 60 feet Components: V, M (a snake's tongue) Duration: 24 hours 
You suggest a course of activityâ€”described in no more than 25 wordsâ€”to twelve or fewer creatures you can see within range that can hear and understand you. The suggestion must sound achievable and not involve anything that would obviously deal damage to any of the targets or their allies. For example, you could say, â€œWalk to the village down that road, and help the villagers there harvest crops until sunset.â€ Or you could say, â€œNow is not the time for violence. Drop your weapons, and dance! Stop in an hour.â€ Each target must succeed on a Wisdom saving throw or have the Charmed condition for the duration or until you or your allies deal damage to the target. Each Charmed target pursues the suggestion to the best of its ability. The suggested activity can continue for the entire duration, but if the suggested activity can be completed in a shorter time, the spell ends for a target upon completing it. 
Using a Higher-Level Spell Slot. The duration is longer with a spell slot of level 7 (10 days), 8 (30 days), or 9 (366 days)_x000D_
</t>
  </si>
  <si>
    <t>Maze.md</t>
  </si>
  <si>
    <t xml:space="preserve">level 8 - #conjuration Casting Time: Action Range: 60 feet Components: V, S Duration: #Concentration, up to 10 minutes 
You banish a creature that you can see within range into a labyrinthine demiplane. The target remains there for the duration or until it escapes the maze. 
The target can take a Study action to try to escape. When it does so, it makes a DC 20 Intelligence (Investigation) check. If it succeeds, it escapes, and the spell ends. 
When the spell ends, the target reappears in the space it left or, if that space is occupied, in the nearest unoccupied space._x000D_
</t>
  </si>
  <si>
    <t>Meld into Stone.md</t>
  </si>
  <si>
    <t>Melf's Acid Arrow.md</t>
  </si>
  <si>
    <t xml:space="preserve">level 2 - #evocation Casting Time: Action Range: 90 feet Components: V, S, M (powdered rhubarb leaf) Duration: Instantaneous 
A shimmering green arrow streaks toward a target within range and bursts in a spray of acid. Make a ranged spell attack against the target. On a hit, the target takes 4d4 Acid damage and 2d4 Acid damage at the end of its next turn. On a miss, the arrow splashes the target with acid for half as much of the initial damage only. 
Using a Higher-Level Spell Slot. The damage (both initial and later) increases by 1d4 for each spell slot level above 2_x000D_
</t>
  </si>
  <si>
    <t>Mending.md</t>
  </si>
  <si>
    <t xml:space="preserve">level 0 - #transmutation Casting Time: 1 minute Range: Touch Components: V, S, M (two lodestones) Duration: Instantaneous 
This spell repairs a single break or tear in an object you touch, such as a broken chain link, two halves of a broken key, a torn cloak, or a leaking wineskin. As long as the break or tear is no larger than 1 foot in any dimension, you mend it, leaving no trace of the former damage. 
This spell can physically repair a magic item, but it can't restore magic to such an object._x000D_
</t>
  </si>
  <si>
    <t>Message.md</t>
  </si>
  <si>
    <t xml:space="preserve">level 0 - #transmutation Casting Time: Action Range: 120 feet Components: S, M (a copper wire) Duration: 1 round 
You point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metal, or wood; or a thin sheet of lead blocks the spell._x000D_
</t>
  </si>
  <si>
    <t>Meteor Swarm.md</t>
  </si>
  <si>
    <t xml:space="preserve">level 9 - #evocation Casting Time: Action Range: 1 mile Components: V, S Duration: Instantaneous 
Blazing orbs of fire plummet to the ground at four different points you can see within range. Each creature in a 40-foot-radius Sphere centered on each of those points makes a Dexterity saving throw. A creature takes 20d6 Fire damage and 20d6 Bludgeoning damage on a failed save or half as much damage on a successful one. A creature in the area of more than one fiery Sphere is affected only once. 
A nonmagical object that isn't being worn or carried also takes the damage if it's in the spell's area, and the object starts burning if it's flammable._x000D_
</t>
  </si>
  <si>
    <t>Mind Blank.md</t>
  </si>
  <si>
    <t xml:space="preserve">Level 8 - #abjuration Casting Time: Action Range: Touch Components: V, S Duration: 24 hours 
Until the spell ends, one willing creature you touch has Immunity to Psychic damage and the Charmed condition. The target is also unaffected by anything that would sense its emotions or alignment, read its thoughts, or magically detect its location, and no spellâ€”not even Wishâ€”can gather information about the target, observe it remotely, or control its mind._x000D_
</t>
  </si>
  <si>
    <t>Mind Sliver.md</t>
  </si>
  <si>
    <t xml:space="preserve">level 0 - #enchantment Casting Time: Action Range: 60 feet Components: V Duration: 1 round 
You try to temporarily sliver the mind of one creature you can see within range. The target must succeed on an Intelligence saving throw or take 1d6 Psychic damage and subtract 1d4 from the next saving throw it makes before the end of your next turn. 
Cantrip Upgrade. The damage increases by 1d6 when you reach levels 5 (2d6), 11 (3d6), and 17 (4d6)_x000D_
</t>
  </si>
  <si>
    <t>Mind Spike.md</t>
  </si>
  <si>
    <t>Minor Illusion.md</t>
  </si>
  <si>
    <t xml:space="preserve">level 0 - #illusion Casting Time: Action Range: 30 feet Components: S, M (a bit of fleece) Duration: 1 minute 
You create a sound or an image of an object within range that lasts for the duration. See the descriptions below for the effects of each. The illusion ends if you cast this spell again. If a creature takes a Study action to examine the sound or image, the creature can determine that it is an illusion with a successful Intelligence (Investigation) check against your spell save DC. If a creature discerns the illusion for what it is, the illusion becomes faint to the creature. 
**Sound.**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**Image.** If you create an image of an objectâ€”such as a chair, muddy footprints, or a small chestâ€”it must be no larger than a 5- foot Cube. The image can't create sound, light, smell, or any other sensory effect. Physical interaction with the image reveals it to be an illusion, since things can pass through it._x000D_
</t>
  </si>
  <si>
    <t>Mirage Arcane.md</t>
  </si>
  <si>
    <t xml:space="preserve">level 7 - #illusion Casting Time: 10 minutes Range: Sight Components: V, S Duration: 10 days 
You make terrain in an area up to 1 mile square look, sound, smell, and even feel like some other sort of terrain. Open fields or a road could be made to resemble a swamp, hill, crevasse, or some other rough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illusion._x000D_
</t>
  </si>
  <si>
    <t>Mirror Image.md</t>
  </si>
  <si>
    <t xml:space="preserve">level 2 - #illusion Casting Time: Action Range: Self Components: V, S Duration: 1 minute 
Three illusory duplicates of yourself appear in your space. Until the spell ends, the duplicates move with you and mimic your actions, shifting position so it's impossible to track which image is real. 
Each time a creature hits you with an attack roll during the spell's duration, roll a d6 for each of your remaining duplicates. If any of the d6s rolls a 3 or higher, one of the duplicates is hit instead of you, and the duplicate is destroyed. The duplicates otherwise ignore all other damage and effects. The spell ends when all three duplicates are destroyed. 
A creature is unaffected by this spell if it has the Blinded condition, Blindsight, or Truesight._x000D_
</t>
  </si>
  <si>
    <t>Mislead.md</t>
  </si>
  <si>
    <t>Misty Step.md</t>
  </si>
  <si>
    <t>Modify Memory.md</t>
  </si>
  <si>
    <t xml:space="preserve">level 5 - #enchantment Casting Time: Action Range: 30 feet Components: V, S Duration: #Concentration, up to 1 minute 
You attempt to reshape another creature's memories. One creature that you can see within range makes a Wisdom saving throw. If you are fighting the creature, it has Advantage on the save. On a failed save, the target has the Charmed condition for the duration. While Charmed in this way, the target also has the Incapacitated condition and is unaware of its surroundings, though it can hear you. If it takes any damage or is targeted by another spell, this spell ends, and no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change its memory of the event's details,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finish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a false memory of how much the creature enjoyed swimming in acid, is dismissed as a bad dream. The DM might deem a modified memory too nonsensical to affect a creature. A Remove Curse or Greater Restoration spell cast on the target restores the creature's true memory. 
Using a Higher-Level Spell Slot. You can alter the target's memories of an event that took place up to 7 days ago (level 6 spell slot), 30 days ago (level 7 spell slot), 365 days ago (level 8 spell slot), or any time in the creature's past (level 9 spell slot)._x000D_
</t>
  </si>
  <si>
    <t>Moonbeam.md</t>
  </si>
  <si>
    <t>Mordenkainen's Faithful Hound.md</t>
  </si>
  <si>
    <t xml:space="preserve">level 4 - #conjuration Casting Time: Action Range: 30 feet Components: V, S, M (a silver whistle) Duration: 8 hours 
You conjure a phantom watchdog in an unoccupied space that you can see within range. The hound remains for the duration or until the two of you are more than 300 feet apart from each other. 
No one but you can see the hound, and it is intangible and invulnerable. When a Small or larger creature comes within 30 feet of it without first speaking the password that you specify when you cast this spell, the hound starts barking loudly. The hound has Truesight with a range of 30 feet. 
At the start of each of your turns, the hound attempts to bite one enemy within 5 feet of it. That enemy must succeed on a Dexterity saving throw or take 4d8 Force damage.
On your later turns, you can take a Magic action to move the hound up to 30 feet_x000D_
</t>
  </si>
  <si>
    <t>Mordenkainen's Magnificent Mansion.md</t>
  </si>
  <si>
    <t xml:space="preserve">level 7 - #conjuration Casting Time: 1 minute Range: 300 feet Components: V, S, M (a miniature door worth 15+ GP) Duration: 24 hours 
Description not available (not OGL)_x000D_
</t>
  </si>
  <si>
    <t>Mordenkainen's Private Sanctum.md</t>
  </si>
  <si>
    <t xml:space="preserve">level 4 - #abjuration Casting Time: 10 minutes Range: 120 feet Components: V, S, M (a thin sheet of lead) Duration: 24 hours 
You make an area within range magically secure. The area is a Cube that can be as small as 5 feet to as large as 100 feet on each side. The spell lasts for the duration. 
When you cast the spell, you decide what sort of security the spell provides, choosing any of the following properties: 
â€¢ Sound can't pass through the barrier at the edge of the warded area. 
â€¢ The barrier of the warded area appears dark and foggy, preventing vision (including Dark vision) through it. 
â€¢ Sensors created by Divination spells can't appear inside the protected area or pass through the barrier at its perimeter. 
â€¢ Creatures in the area can't be targeted by Divination spells. 
â€¢ Nothing can teleport into or out of the warded area. 
â€¢ Planar travel is blocked within the warded area. Casting this spell on the same spot every day for 365 days makes the spell last until dispelled. 
Using a Higher-Level Spell Slot. You can increase the size of the Cube by 100 feet for each spell slot level above 4_x000D_
</t>
  </si>
  <si>
    <t>Mordenkainen's Sword.md</t>
  </si>
  <si>
    <t xml:space="preserve">level 7 - #evocation Casting Time: Action Range: 90 feet Components: V, S, M (a miniature sword worth 250+ GP) Duration: #Concentration, up to 1 minute 
You create a spectral sword that hovers within range. It lasts for the duration. 
When the sword appears, you make a melee spell attack against a target within 5 feet of the sword. On a hit, the target takes Force damage equal to 4d12 plus your spellcasting ability modifier.
On your later turns, you can take a Bonus Action to move the sword up to 30 feet to a spot you can see and repeat the attack against the same target or a different one_x000D_
</t>
  </si>
  <si>
    <t>Move Earth.md</t>
  </si>
  <si>
    <t xml:space="preserve">level 6 - #transmutation Casting Time: Action Range: 120 feet Components: V, S, M (an miniature showel) Duration: #Concentration, up to 2 hours 
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For example, if you affect a 40-foot square, you can create a pillar up to 20 feet high, raise or lower the square's elevation by up to 20 feet, dig a trench up to 20 feet deep, and so on. It takes 10 minutes for these changes to complete. Because the terrain's transformation occurs slowly, creatures in the area can't usually be trapped or injured by the ground's movement. At the end of every 10 minutes you spend concentrating on the spell, you can choose a new area of terrain to affect within range.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it_x000D_
</t>
  </si>
  <si>
    <t>Nondetection.md</t>
  </si>
  <si>
    <t xml:space="preserve">level 3 - #abjuration Casting Time: Action Range: Touch Components: V, S, M (a pinch of diamond dust worth 25+ GP, which the spell consumes) Duration: 8 hours 
For the duration, you hide a target that you touch from Divination spells. The target can be a willing creature, or it can be a place or an object no larger than 10 feet in any dimension. The target can't be targeted by any Divination spell or perceived through magical scrying sensors._x000D_
</t>
  </si>
  <si>
    <t>Nystul's Magic Aura.md</t>
  </si>
  <si>
    <t xml:space="preserve">level 2 - #illusion Casting Time: Action Range: Touch Components: V, S, M (a small square of silk) Duration: 24 hours 
With a touch, you place an illusion on a willing creature or an object that isn't being worn or carried. A creature gains the Mask effect below, and an object gains the False Aura effect below. The effect lasts for the duration. If you cast the spell on the same target every day for 30 days, the illusion lasts until dispelled. 
**Mask (Creature).** Choose a creature type other than the target's actual type. Spells and other magical effects treat the target as if it were a creature of the chosen type. 
**False Aura (Object).** You change the way the target appears to spells and magical effects that detect magical auras, such as Detect Magic. You can make a nonmagical object appear magical, make a magic item appear nonmagical, or change the object's aura so that it appears to belong to a school of magic you choose._x000D_
</t>
  </si>
  <si>
    <t>Otiluke's Freezing Sphere.md</t>
  </si>
  <si>
    <t xml:space="preserve">level 6 - #evocation Casting Time: Action Range: 300 feet Components: V, S, M (a small crystal sphere) Duration: Instantaneous 
Description not available (not OGL)_x000D_
</t>
  </si>
  <si>
    <t>Otiluke's Resilient Sphere.md</t>
  </si>
  <si>
    <t xml:space="preserve">level 4 - #evocation Casting Time: Action Range: 30 feet Components: V, S, M (a glass sphere) Duration: #Concentration, up to 1 minute 
A shimmering sphere encloses a Large or smaller creature or object within range. An unwilling creature must succeed on a Dexterity saving throw or be enclosed for the duration. Nothing-not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take an action to push against the sphere's walls and thus roll the sphere at up to half the creature's Speed. Similarly, the globe can be picked up and moved by other creatures. A Disintegrate spell targeting the globe destroys it without harming anything inside_x000D_
</t>
  </si>
  <si>
    <t>Otto's Irresistible Dance.md</t>
  </si>
  <si>
    <t xml:space="preserve">level 6 - #enchantment Casting Time: Action Range: 30 feet Components: V Duration: #Concentration, up to 1 minute 
Description not available (not OGL)_x000D_
</t>
  </si>
  <si>
    <t>Pass without Trace.md</t>
  </si>
  <si>
    <t xml:space="preserve">level 2 - #abjuration Casting Time: Action Range: Self Components: V, S, M (ashes from a burned mistletoe) Duration: #Concentration, up to 1 hour 
You radiate a concealing aura in a 30-foot Emanation for the duration. While in the aura, you and each creature you choose have a +10 bonus to Dexterity (Stealth) checks and leave no tracks._x000D_
</t>
  </si>
  <si>
    <t>Passwall.md</t>
  </si>
  <si>
    <t xml:space="preserve">level 5 - #transmutation Casting Time: Action Range: 30 feet Components: V, S, M (a pinch of sesame seads) Duration: 1 hour 
A passage appears at a point that you can see on a wooden, plaster, or stone surface (such as a wall, ceiling, or floor) within range and lasts for the duration. You choose the opening's dimensions: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spell_x000D_
</t>
  </si>
  <si>
    <t>Phantasmal Force.md</t>
  </si>
  <si>
    <t xml:space="preserve">level 2 - #illusion Casting Time: Action Range: 60 feet Components: V, S, M (a bit of fleece) Duration: #Concentration, up to 1 minute 
You attempt to craft an illusion in the mind of a creature you can see within range. The target makes an Intelligence saving throw. On a failed save, you create a phantasmal object, creature, or other phenomenon that is no larger than a 10-foot Cube and that is perceivable only to the target for the duration. The phantasm includes sound, temperature, and other stimuli. 
The target can take a Study action to examine the phantasm with an Intelligence (Investigation) check against your spell save DC. If the check succeeds, the target realizes that the phantasm is an illusion, and the spell ends. 
While affected by the spell, the target treats the phantasm as if it were real and rationalizes any illogical outcomes from interacting with it. For example, if the target steps through a phantasmal bridge and survives the fall, it believes the bridge exists and something else caused it to fall. 
An affected target can even take damage from the illusion if the phantasm represents a dangerous creature or hazard. On each of your turns, such a phantasm can deal 2d8 Psychic damage to the target if it is in the phantasm's area or within 5 feet of the phantasm. The target perceives the damage as a type appropriate to the illusion._x000D_
</t>
  </si>
  <si>
    <t>Phantasmal Killer.md</t>
  </si>
  <si>
    <t xml:space="preserve">level 4 - #illusion Casting Time: Action Range: 120 feet Components: V, S Duration: #Concentration, up to 1 minute 
You tap into the nightmares of a creature you can see within range and create an illusion of its deepest fears, visible only to that creature. The target makes a Wisdom saving throw. On a failed save, the target takes 4d10 Psychic damage and has Disadvantage on ability checks and attack rolls for the duration. On a successful save, the target takes half as much damage, and the spell ends. 
For the duration, the target makes a Wisdom saving throw at the end of each of its turns. On a failed save, it takes the Psychic damage again. On a successful save, the spell ends. 
Using a Higher-Level Spell Slot. The damage increases by 1d10 for each spell slot level above 4_x000D_
</t>
  </si>
  <si>
    <t>Phantom Steed.md</t>
  </si>
  <si>
    <t>Planar Ally.md</t>
  </si>
  <si>
    <t xml:space="preserve">level 6 - #conjuration Casting Time: 10 minutes Range: 60 feet Components: V, S Duration: Instantaneous 
You beseech an otherworldly entity for aid. The being must be known to you: a god,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a particular way. You can ask it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possible. If you are unable to agree on a price for the creature's service, the creature immediately returns to its home plane_x000D_
</t>
  </si>
  <si>
    <t>Planar Binding.md</t>
  </si>
  <si>
    <t xml:space="preserve">level 5 - #abjuration Casting Time: 1 hour Range: 60 feet Components: V, S, M (a jewel worth 1,000+ GP, which the spell consumes) Duration: 24 hours 
You attempt to bind a Celestial, an Elemental, a Fey, or a Fiend to your service. The creature must be within range for the entire casting of the spell. (Typically, the creature is first summoned into the center of the inverted version of the Magic Circle spell to trap it while this spell is cast.) At the completion of the casting, the target must succeed on a Charisma saving throw or be bound to serve you for the duration. If the creature was summoned or created by another spell, that spell's duration is extended to match the duration of this spell. 
A bound creature must follow your commands to the best of its ability. You might command the creature to accompany you on an adventure, to guard a location, or to deliver a message. If the creature is Hostile, it strives to twist your commands to achieve its own objectives. If the creature carries out your commands completely before the spell ends, it travels to you to report this fact if you are on the same plane of existence. If you are on a different plane, it returns to the place where you bound it and remains there until the spell ends. 
Using a Higher-Level Spell Slot. The duration increases with a spell slot of level 6 (10 days), 7 (30 days), 8 (180 days), and 9 (366 days)_x000D_
</t>
  </si>
  <si>
    <t>Plane Shift.md</t>
  </si>
  <si>
    <t xml:space="preserve">level 7 - #conjuration Casting Time: Action Range: Touch Components: V, S, M (a forked, metal rod worth 250+ GP and attuned to a particular plane of existence) Duration: Instantaneous 
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as determined by the DM.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circle_x000D_
</t>
  </si>
  <si>
    <t>Plant Growth.md</t>
  </si>
  <si>
    <t xml:space="preserve">level 3 - #transmutation Casting Time: Action (Overgrowth) or 8 hours (Enrichment) Range: 150 feet Components: V, S Duration: Instantaneous 
This spell channels vitality into plants. The casting time you use determines whether the spell has the Overgrowth or the Enrichment effect below. 
**Overgrowth**. Choose a point within range. All normal plants in a 100-foot-radius Sphere centered on that point become thick and overgrown. A creature moving through that area must spend 4 feet of movement for every 1 foot it moves. You can exclude one or more areas of any size within the spell's area from being affected. 
**Enrichment**. All plants in a half-mile radius centered on a point within range become enriched for 365 days. The plants yield twice the normal amount of food when harvested. They can benefit from only one Plant Growth per year_x000D_
</t>
  </si>
  <si>
    <t>Poison Spray.md</t>
  </si>
  <si>
    <t xml:space="preserve">level 0 - #necromancy Casting Time: Action Range: 30 feet Components: V, S Duration: Instantaneous 
You spray toxic mist at a creature within range. Make a ranged spell attack against the target. On a hit, the target takes 1d12 Poison damage. 
Cantrip Upgrade. The damage increases by 1d12 when you reach levels 5 (2d12), 11 (3d12), and 17 (4d12)_x000D_
</t>
  </si>
  <si>
    <t>Polymorph.md</t>
  </si>
  <si>
    <t xml:space="preserve">level 4 - #transmutation Casting Time: Action Range: 60 feet Components: V, S, M (a caterpillar cocoon) Duration: #Concentration, up to 1 hour 
You attempt to transform a creature that you can see within range into a Beast. The target must succeed on a Wisdom saving throw or shape-shift into Beast form for the duration. That form can be any Beast you choose that has a Challenge Rating equal to or less than the target's (or the target's level if it doesn't have a Challenge Rating). The target's game statistics are replaced by the stat block of the chosen Beast, but the target retains its alignment, personality, creature type, Hit Points, and Hit Point Dice. 
The target gains a number of Temporary Hit Points equal to the Hit Points of the Beast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equipment._x000D_
</t>
  </si>
  <si>
    <t>Power Word Fortify.md</t>
  </si>
  <si>
    <t xml:space="preserve">level 7 - #enchantment Casting Time: Action Range: 60 feet Components: V Duration: Instantaneous 
Description not available (not OGL)_x000D_
</t>
  </si>
  <si>
    <t>Power Word Heal.md</t>
  </si>
  <si>
    <t xml:space="preserve">level 9 - #enchantment Casting Time: Action Range: 60 feet Components: V Duration: Instantaneous 
A wave of healing energy washes over one creature you can see within range. The target regains all its Hit Points. If the creature has the Charmed, Frightened, Paralyzed, Poisoned, or Stunned condition, the condition ends. If the creature has the Prone condition, it can use its Reaction to stand up_x000D_
</t>
  </si>
  <si>
    <t>Power Word Kill.md</t>
  </si>
  <si>
    <t xml:space="preserve">level 9 - #enchantment Casting Time: Action Range: 60 feet Components: V Duration: Instantaneous 
You compel one creature you can see within range to die. If the target has 100 Hit Points or fewer, it dies. Otherwise, it takes 12d12 Psychic damage._x000D_
</t>
  </si>
  <si>
    <t>Power Word Stun.md</t>
  </si>
  <si>
    <t xml:space="preserve">level 8 - #enchantment Casting Time: Action Range: 60 feet Components: V Duration: Instantaneous 
You overwhelm the mind of one creature you can see within range. If the target has 150 Hit Points or fewer, it has the Stunned condition. Otherwise, its Speed is 0 until the start of your next turn. 
The Stunned target makes a Constitution saving throw at the end of each of its turns, ending the condition on itself on a success._x000D_
</t>
  </si>
  <si>
    <t>Prayer of Healing.md</t>
  </si>
  <si>
    <t xml:space="preserve">level 2 - #abjuration Casting Time: 10 minutes Range: 30 feet Components: V Duration: Instantaneous 
Up to five creatures of your choice who remain within range for the spell's entire casting gain the benefits of a Short Rest and also regain 2d8 Hit Points. A creature can't be affected by this spell again until that creature finishes a Long Rest. 
Using a Higher-Level Spell Slot. The healing increases by 1d8 for each spell slot level above 2._x000D_
</t>
  </si>
  <si>
    <t>Prestidigitation.md</t>
  </si>
  <si>
    <t xml:space="preserve">level 0 - #transmutation Casting Time: Action Range: 10 feet Components: V, S Duration: Up to 1 hour 
You create a magical effect within range. Choose the effect from the options below. If you cast this spell multiple times, you can have up to three of its non-instantaneous effects active at a time. 
**Sensory Effect**. You create an instantaneous, harmless sensory effect, such as a shower of sparks, a puff of wind, faint musical notes, or an odd odor. 
Fire Play. You instantaneously light or snuff out a candle, a torch, or a small campfire. Clean or Soil. You instantaneously clean or soil an object no larger than 1 cubic foot. 
Minor Sensation. You chill, warm, or flavor up to 1 cubic foot of nonliving material for 1 hour. 
Magic Mark. You make a color, a small mark, or a symbol appear on an object or a surface for 1 hour. 
**Minor Creation**. You create a nonmagical trinket or an illusory image that can fit in your hand. It lasts until the end of your next turn. A trinket can deal no damage and has no monetary worth._x000D_
</t>
  </si>
  <si>
    <t>Prismatic Spray.md</t>
  </si>
  <si>
    <t xml:space="preserve">level 7 - #evocation Casting Time: Action Range: Self Components: V, S Duration: Instantaneous 
Eight rays of light flash from you in a 60-foot Cone. Each creature in the Cone makes a Dexterity saving throw. For each target, roll 1d8 to determine which color ray affects it, consulting the Prismatic Rays table.
1d8 Ray 
1     Red. Failed Save: 12d6 Fire damage. Successful Save: Half as much damage. 
2     Orange. Failed Save: 12d6 Acid damage. Successful Save: Half as much damage. 
3 Yellow. Failed Save: 12d6 Lightning damage. Successful Save: Half as much damage. 
4    Green. Failed Save: 12d6 Poison damage. Successful Save: Half as much damage. 
5    Blue. Failed Save: 12d6 Cold damage. Successful Save: Half as much damage. 
6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7    Violet. Failed Save: The target has the Blinded condition and makes a Wisdom saving throw at the start of your next turn. On a Successful Save, the condition ends. On a Failed Save, the condition ends, and the creature teleports to another plane of existence (DM's choice). 
8    Special. The target is struck by two rays. Roll twice, rerolling any 8_x000D_
</t>
  </si>
  <si>
    <t>Prismatic Wall.md</t>
  </si>
  <si>
    <t xml:space="preserve">level 9 - #abjuration Casting Time: Action Range: 60 feet Components: V, S Duration: 10 minutes 
A shimmering, multicolored plane of light forms a vertical opaque wallâ€”up to 90 feet long, 30 feet high, and 1 inch thickâ€”centered on a point within range. Alternatively, you shape the wall into a globe up to 30 feet in diameter centered on a point within range. The wall lasts for the duration. If you position the wall in a space occupied by a creature, the spell ends instantly without effect. The wall sheds Bright Light within 100 feet and Dim Light for an additional 100 feet. You and creatures you designate when you cast the spell can pass through and be near the wall without harm. If another creature that can see the wall moves within 20 feet of it or starts its turn there, the creature must succeed on a Constitution saving throw or have the Blinded condition for 1 minute. 
The wall consists of seven layers, each with a different color. When a creature reaches into or passes through the wall, it does so one layer at a time through all the layers. Each layer forces the creature to make a Dexterity saving throw or be affected by that layer's properties as described in the Prismatic Layers table. 
The wall, which has AC 10, can be destroyed one layer at a time, in order from red to violet, by means specific to each layer. If a layer is destroyed, it is gone for the duration. Antimagic Field has no effect on the wall, and Dispel Magic can affect only the violet layer. 
| Order | Effects                                                                                                                                                                                                                                                                                                                                                                                                                                                                                                                                                                   |
| ----- | ------------------------------------------------------------------------------------------------------------------------------------------------------------------------------------------------------------------------------------------------------------------------------------------------------------------------------------------------------------------------------------------------------------------------------------------------------------------------------------------------------------------------------------------------------------------------- |
| 1     | **Red.** Failed Save: 12d6 Fire damage. Successful Save: Half as much damage. Additional Effects: Nonmagical ranged attacks can't pass through this layer, which is destroyed if it takes at least 25 Cold damage.                                                                                                                                                                                                                                                                                                                                                        |
| 2     | **Orange**. Failed Save: 12d6 Acid damage. Successful Save: Half as much damage. Additional Effects: Magical ranged attacks can't pass through this layer, which is destroyed by a strong wind (such as the one created by Gust of Wind).                                                                                                                                                                                                                                                                                                                                 |
| 3     | **Yellow**. Failed Save: 12d6 Lightning damage. Successful Save: Half as much damage. Additional Effects: The layer is destroyed if it takes at least 60 Force damage.                                                                                                                                                                                                                                                                                                                                                                                                    |
| 4     | **Green**. Failed Save: 12d6 Poison damage. Successful Save: Half as much damage. Additional Effects: A Passwall spell, or another spell of equal or greater level that can open a portal on a solid surface, destroys this layer.                                                                                                                                                                                                                                                                                                                                        |
| 5     | **Blue**. Failed Save: 12d6 Cold damage. Successful Save: Half as much damage. Additional Effects: The layer is destroyed if it takes at least 25 Fire damage.                                                                                                                                                                                                                                                                                                                                                                                                            |
| 6     |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Additional Effects: Spells can't be cast through this layer, which is destroyed by Bright Light shed by the Daylight spell. |
| 7     | **Violet**. Failed Save: The target has the Blinded condition and makes a Wisdom saving throw at the start of your next turn. On a Successful Save, the condition ends. On a Failed Save, the condition ends, and the creature teleports to another plane of existence (DM's choice). Additional Effects: This layer is destroyed by Dispel Magic.                                                                                                                                                                                                                        |
_x000D_
</t>
  </si>
  <si>
    <t>Produce Flame.md</t>
  </si>
  <si>
    <t>Programmed Illusion.md</t>
  </si>
  <si>
    <t xml:space="preserve">level 6 - #illusion Casting Time: Action Range: 120 feet Components: V, S, M (jade dust worth 25+ GP) Duration: Until dispelled 
You create an illusion of an object, a creature, or some other visible phenomenon within range that activates when a specific trigger occurs. The illusion is imperceptible until then. It must be no larger than a 30-foot Cube, and you decide when you cast the spell how the illusion behaves and what sounds it makes. This scripted performance can last up to 5 minutes.
When the trigger you specify occurs, the illusion springs into existence and performs in the manner you described. Once the illusion finishes performing, it disappears and remains dormant for 10 minutes, after which the illusion can be activated again. The trigger can be as general or as detailed as you like, though it must be based on visual or audible phenomena that occur within 30 feet of the area. For example, you could create an illusion of yourself to appear and warn off others who attempt to open a trapped door.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t>
  </si>
  <si>
    <t>Project Image.md</t>
  </si>
  <si>
    <t xml:space="preserve">level 7 - #illusion Casting Time: Action Range: 500 miles Components: V, S, M (a statuette of yourself worth 5+ GP) Duration: #Concentration, up to 1 day 
You create an illusory copy of yourself that lasts for the duration. The copy can appear at any location within range that you have seen before, regardless of intervening obstacles. The illusion looks and sounds like you, but it is intangible. If the illusion takes any damage, it disappears, and the spell ends. 
You can see through the illusion's eyes and hear through its ears as if you were in its space. As a Magic action, you can move it up to 60 feet and make it gesture, speak, and behave in whatever way you choose. It mimics your mannerisms perfectly.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t>
  </si>
  <si>
    <t>Protection from Energy.md</t>
  </si>
  <si>
    <t xml:space="preserve">level 3 - #abjuration Casting Time: Action Range: Touch Components: V, S Duration: #Concentration, up to 1 hour 
For the duration, the willing creature you touch has Resistance to one damage type of your choice: Acid, Cold, Fire, Lightning, or Thunder_x000D_
</t>
  </si>
  <si>
    <t>Protection from Evil and Good.md</t>
  </si>
  <si>
    <t xml:space="preserve">level 1 - #abjuration Casting Time: Action Range: Touch Components: V, S, M (a flask of Holy Water worth 25+ GP, which the spell consumes) Duration: #Concentration, up to 10 minutes 
Until the spell ends, one willing creature you touch is protected against creatures that are Aberrations, Celestials, Elementals, Fey, Fiends, or Undead. The protection grants several benefits. Creatures of those types have Disadvantage on attack rolls against the target. The target also can't be possessed by or gain the Charmed or Frightened conditions from them. If the target is already possessed, Charmed, or Frightened by such a creature, the target has Advantage on any new saving throw against the relevant effect._x000D_
</t>
  </si>
  <si>
    <t>Protection from Poison.md</t>
  </si>
  <si>
    <t xml:space="preserve">level 2 - #abjuration Casting Time: Action Range: Touch Components: V, S Duration: 1 hour 
You touch a creature and end the Poisoned condition on it. For the duration, the target has Advantage on saving throws to avoid or end the Poisoned condition, and it has Resistance to Poison damage._x000D_
</t>
  </si>
  <si>
    <t>Purify Food and Drink.md</t>
  </si>
  <si>
    <t>Raise Dead.md</t>
  </si>
  <si>
    <t xml:space="preserve">level 5 - #necromancy Casting Time: 1 hour Range: Touch Components: V, S, M (a diamond worth 500+ GP, which the spell consumes) Duration: Instantaneous 
With a touch, you revive a dead creature if it has been dead no longer than 10 days and it wasn't Undead when it died. The creature returns to life with 1 Hit Point. This spell also neutralizes any poisons that affected the creature at the time of death. 
This spell closes all mortal wounds, but it doesn't restore missing body parts. If the creature is lacking body parts or organs integral for its survivalâ€”its head, for instanceâ€”the spell automatically fails. Coming back from the dead is an ordeal. The target takes a âˆ’4 penalty to D20 Tests. Every time the target finishes a Long Rest, the penalty is reduced by 1 until it becomes 0_x000D_
</t>
  </si>
  <si>
    <t>Rary's Telepathic Bond.md</t>
  </si>
  <si>
    <t>Ray of Enfeeblement.md</t>
  </si>
  <si>
    <t xml:space="preserve">level 2 - #necromancy Casting Time: Action Range: 60 feet Components: V, S Duration: #Concentration, up to 1 minute 
A beam of enervating energy shoots from you toward a creature within range. The target must make a Constitution saving throw. On a successful save, the target has Disadvantage on the next attack roll it makes until the start of your next turn. 
On a failed save, the target has Disadvantage on Strength-based D20 Tests for the duration. During that time, it also subtracts 1d8 from all its damage rolls. The target repeats the save at the end of each of its turns, ending the spell on a success._x000D_
</t>
  </si>
  <si>
    <t>Ray of Frost.md</t>
  </si>
  <si>
    <t xml:space="preserve">level 0 - #evocation Casting Time: Action Range: 60 feet Components: V, S Duration: Instantaneous 
A frigid beam of blue-white light streaks toward a creature within range. Make a ranged spell attack against the target. On a hit, it takes 1d8 Cold damage, and its Speed is reduced by 10 feet until the start of your next turn. 
Cantrip Upgrade. The damage increases by 1d8 when you reach levels 5 (2d8), 11 (3d8), and 17 (4d8)._x000D_
</t>
  </si>
  <si>
    <t>Ray of Sickness.md</t>
  </si>
  <si>
    <t xml:space="preserve">level 1 - #necromancy Casting Time: Action Range: 60 feet Components: V, S Duration: Instantaneous 
You shoot a greenish ray at a creature within range. Make a ranged spell attack against the target. On a hit, the target takes 2d8 Poison damage and has the Poisoned condition until the end of your next turn. 
Using a Higher-Level Spell Slot. The damage increases by 1d8 for each spell slot level above 1_x000D_
</t>
  </si>
  <si>
    <t>Regenerate.md</t>
  </si>
  <si>
    <t xml:space="preserve">level 7 - #transmutation Casting Time: 1 minute Range: Touch Components: V, S, M (a prayer wheel) Duration: 1 hour 
A creature you touch regains 4d8 + 15 Hit Points. For the duration, the target regains 1 Hit Point at the start of each of its turns, and any severed body parts regrow after 2 minutes._x000D_
</t>
  </si>
  <si>
    <t>Reincarnate.md</t>
  </si>
  <si>
    <t xml:space="preserve">level 5 - #necromancy Casting Time: 1 hour Range: Touch Components: V, S, M (rare oils worth 1,000+ GP, which the spell consumes) Duration: Instantaneous 
You touch a dead Humanoid or a piece of one. If the creature has been dead no longer than 10 days, the spell forms a new body for it and calls the soul to enter that body. Roll 1d10 and consult the table below to determine the bodyâ€™s species, or the DM chooses another playable species. 
| 1d10 | Species    |
| ---- | ---------- |
| 1    | Aasimar    |
| 2    | Dragonborn |
| 3    | Dwarf      |
| 4    | Elf        |
| 5    | Gnome      |
| 6    | Goliath    |
| 7    | Halfling   |
| 8    | Human      |
| 9    | Orc        |
| 10   | Tiefling   |
  The reincarnated creature makes any choices that a speciesâ€™ description offers, and the creature recalls its former life. It retains the capabilities it had in its original form, except it loses the traits of its previous species and gains the traits of its new one_x000D_
</t>
  </si>
  <si>
    <t>Remove Curse.md</t>
  </si>
  <si>
    <t xml:space="preserve">level 3 - #abjuration Casting Time: Action Range: Touch Components: V, S Duration: Instantaneous 
At your touch, all curses affecting one creature or object end. If the object is a cursed magic item, its curse remains, but the spell breaks its owner's Attunement to the object so it can be removed or discarded_x000D_
</t>
  </si>
  <si>
    <t>Resistance.md</t>
  </si>
  <si>
    <t xml:space="preserve">level 0 - #abjuration Casting Time: Action Range: Touch Components: V, S Duration: #Concentration, up to 1 minute 
You touch a willing creature and choose a damage type: Acid, Bludgeoning, Cold, Fire, Lightning, Necrotic, Piercing, Poison, Radiant, Slashing, or Thunder. When the creature takes damage of the chosen type before the spell ends, the creature reduces the total damage taken by 1d4. A creature can benefit from this spell only once per turn._x000D_
</t>
  </si>
  <si>
    <t>Resurrection.md</t>
  </si>
  <si>
    <t xml:space="preserve">level 7 - #necromancy Casting Time: 1 hour Range: Touch Components: V, S, M (a diamond worth 1,000+ GP, which the spell consumes) Duration: Instantaneous 
With a touch, you revive a dead creature that has been dead for no more than a century, didn't die of old age, and wasn't Undead when it died. 
The creature returns to life with all its Hit Points. This spell also neutralizes any poisons that affected the creature at the time of death. This spell closes all mortal wounds and restores any missing body parts. 
Coming back from the dead is an ordeal. The target takes a âˆ’4 penalty to D20 Tests. Every time the target finishes a Long Rest, the penalty is reduced by 1 until it becomes 0. 
Casting this spell to revive a creature that has been dead for 365 days or longer taxes you. Until you finish a Long Rest, you can't cast spells again, and you have Disadvantage on D20 Tests._x000D_
</t>
  </si>
  <si>
    <t>Reverse Gravity.md</t>
  </si>
  <si>
    <t xml:space="preserve">level 7 - #transmutation Casting Time: Action Range: 100 feet Components: V, S, M (a lodestone and iron filings) Duration: #Concentration, up to 1 minute 
This spell reverses gravity in a 50-foot-radius, 100-foot high Cylinder centered on a point within range. All creatures and objects in that area that aren't anchored to the ground fall upward and reach the top of the Cylinder. A creature can make a Dexterity saving throw to grab a fixed object it can reach, thus avoiding the fall upward. 
If a ceiling or an anchored object is encountered in this upward fall, creatures and objects strike it just as they would during a downward fall. If an affected creature or object reaches the Cylinder's top without striking anything, it hovers there for the duration. When the spell ends, affected objects and creatures fall downward._x000D_
</t>
  </si>
  <si>
    <t>Revivify.md</t>
  </si>
  <si>
    <t xml:space="preserve">level 3 - #necromancy Casting Time: Action Range: Touch Components: V, S, M (diamonds worth 300+ GP, which the spell consumes) Duration: Instantaneous 
You touch a creature that has died within the last minute. That creature revives with 1 Hit Point. This spell can't revive a creature that has died of old age, nor does it restore any missing body parts_x000D_
</t>
  </si>
  <si>
    <t>Rope Trick.md</t>
  </si>
  <si>
    <t xml:space="preserve">level 2 - #transmutation Casting Time: Action Range: Touch Components: V, S, M (a segment of rope) Duration: 1 hour 
You touch a rope. One end of it hovers upward until the rope hangs perpendicular to the ground or the rope reaches a ceiling. At the rope's upper end, an Invisible 3-foot-by-5-foot portal opens to an extradimensional space that lasts until the spell ends. That space can be reached by climbing the rope, which can be pulled into or dropped out of it. 
The space can hold up to eight Medium or smaller creatures. Attacks, spells, and other effects can't pass into or out of the space, but creatures inside it can see through the portal. Anything inside the space drops out when the spell ends_x000D_
</t>
  </si>
  <si>
    <t>Sacred Flame.md</t>
  </si>
  <si>
    <t xml:space="preserve">level 0 - #evocation Casting Time: Action Range: 60 feet Components: V, S Duration: Instantaneous 
Flame-like radiance descends on a creature that you can see within range. The target must succeed on a Dexterity saving throw or take 1d8 Radiant damage. The target gains no benefit from Half Cover or Three-Quarters Cover for this save. 
Cantrip Upgrade. The damage increases by 1d8 when you reach levels 5 (2d8), 11 (3d8), and 17 (4d8)_x000D_
</t>
  </si>
  <si>
    <t>Sanctuary.md</t>
  </si>
  <si>
    <t>Scorching Ray.md</t>
  </si>
  <si>
    <t xml:space="preserve">level 2 - #evocation Casting Time: Action Range: 120 feet Components: V, S Duration: Instantaneous 
You hurl three fiery rays. You can hurl them at one target within range or at several. Make a ranged spell attack for each ray. On a hit, the target takes 2d6 Fire damage. 
Using a Higher-Level Spell Slot. You create one additional ray for each spell slot level above 2_x000D_
</t>
  </si>
  <si>
    <t>Scrying.md</t>
  </si>
  <si>
    <t xml:space="preserve">level 5 - #divination Casting Time: 10 minutes Range: Self Components: V, S, M (a focus worth 1,000+ GP, such as a crystal ball, mirror, or water-filled font) Duration: #Concentration, up to 10 minutes 
You can see and hear a creature you choose that is on the same plane of existence as you. The target makes a Wisdom saving throw, which is modified (see the tables below) by how well you know the target and the sort of physical connection you have to it. The target doesnâ€™t know what it is making the save against, only that it feels uneasy. 
| Your Knowledge of the Target Is... | Save Modifier |
| ---------------------------------- | ------------- |
| Secondhand (heard of the target)   | +5            |
| Firsthand (met the target)         | +0            |
| Extensive (know the target well)   | -5            |
| You Have the Targetâ€™s...                | Save Modifier |
| --------------------------------------- | ------------- |
| Picture or other likeness               | -2            |
| Garment or other possession             | -4            |
| Body part, lock of hair, or bit of nail | -10           |
On a successful save, the target isnâ€™t affected, and you canâ€™t use this spell on it again for 24 hours. 
On a failed save, the spell creates an Invisible, intangible sensor within 10 feet of the target. You can see and hear through the sensor as if you were there. The sensor moves with the target, remaining within 10 feet of it for the duration. If something can see the sensor, it appears as a luminous orb about the size of your fist. Instead of targeting a creature, you can target a location you have seen. When you do so, the sensor appears at that location and doesnâ€™t move._x000D_
</t>
  </si>
  <si>
    <t>Searing Smite.md</t>
  </si>
  <si>
    <t>See Invisibility.md</t>
  </si>
  <si>
    <t xml:space="preserve">level 2 - #divination Casting Time: Action Range: Self Components: V, S, M (a pinch of talc) Duration: 1 hour 
For the duration, you see creatures and objects that have the Invisible condition as if they were visible, and you can see into the Ethereal Plane. Creatures and objects there appear ghostly_x000D_
</t>
  </si>
  <si>
    <t>Seeming.md</t>
  </si>
  <si>
    <t xml:space="preserve">level 5 - #illusion Casting Time: Action Range: 30 feet Components: V, S Duration: 8 hours 
You give an illusory appearance to each creature of your choice that you can see within range. An unwilling target can make a Charisma saving throw, and if it succeeds, it is unaffected by this spell. 
You can give the same appearance or different ones to the targets. The spell can change the appearance of the targets' bodies and equipment. You can make each creature seem 1 foot shorter or taller and appear heavier or lighter. A target's new appearance must have the same basic arrangement of limbs as the target, but the extent of the illusion is otherwise up to you. The spell lasts for the duration. 
The changes wrought by this spell fail to hold up to physical inspection. For example, if you use this spell to add a hat to a creature's outfit, objects pass through the hat. 
A creature that takes the Study action to examine a target can make an Intelligence (Investigation) check against your spell save DC. If it succeeds, it becomes aware that the target is disguised._x000D_
</t>
  </si>
  <si>
    <t>Sending.md</t>
  </si>
  <si>
    <t xml:space="preserve">level 3 - #divination Casting Time: Action Range: Unlimited Components: V, S, M (a copper wire) Duration: Instantaneous 
You send a short message of 25 words or fewer to a creature you have met or a creature described to you by someone who has met it. The target hears the message in its mind, recognizes you as the sender if it knows you, and can answer in a like manner immediately. The spell enables targets to understand the meaning of your message. 
You can send the message across any distance and even to other planes of existence, but if the target is on a different plane than you, there is a 5 percent chance that the message doesn't arrive. You know if the delivery fails. 
Upon receiving your message, a creature can block your ability to reach it again with this spell for 8 hours. If you try to send another message during that time, you learn that you are blocked, and the spell fails_x000D_
</t>
  </si>
  <si>
    <t>Sequester.md</t>
  </si>
  <si>
    <t xml:space="preserve">level 7 - #transmutation Casting Time: Action Range: Touch Components: V, S, M (gem dust worth 5,000+ GP, which the spell consumes) Duration: Until dispelled 
With a touch, you magically sequester an object or a willing creature. For the duration, the target has the Invisible condition and can't be targeted by Divination spells, detected by magic, or viewed remotely with magic. 
If the target is a creature, it enters a state of suspended animation; it has the Unconscious condition, doesn't age, and doesn't need food, water, or air. 
You can set a condition for the spell to end early. The condition can be anything you choose, but it must occur or be visible within 1 mile of the target. Examples include â€œafter 1,000 yearsâ€ or â€œwhen the tarrasque awakens.â€ This spell also ends if the target takes any damage._x000D_
</t>
  </si>
  <si>
    <t>Shapechange.md</t>
  </si>
  <si>
    <t>Shatter.md</t>
  </si>
  <si>
    <t xml:space="preserve">level 2 - #evocation Casting Time: Action Range: 60 feet Components: V, S, M (a chip of mica) Duration: Instantaneous 
A loud noise erupts from a point of your choice within range. Each creature in a 10-foot-radius Sphere centered there makes a Constitution saving throw, taking 3d8 Thunder damage on a failed save or half as much damage on a successful one. A Construct has Disadvantage on the save.
A nonmagical object that isn't being worn or carried also takes the damage if it's in the spell's area. 
Using a Higher-Level Spell Slot. The damage increases by 1d8 for each spell slot level above 2_x000D_
</t>
  </si>
  <si>
    <t>Shield of Faith.md</t>
  </si>
  <si>
    <t>Shield.md</t>
  </si>
  <si>
    <t xml:space="preserve">level 1 - #abjuration Casting Time: #Reaction, which you take when you are hit by an attack roll or targeted by the Magic Missile spell Range: Self Components: V, S Duration: 1 round 
An imperceptible barrier of magical force protects you. Until the start of your next turn, you have a +5 bonus to AC, including against the triggering attack, and you take no damage from Magic Missile_x000D_
</t>
  </si>
  <si>
    <t>Shillelagh.md</t>
  </si>
  <si>
    <t>Shining Smite.md</t>
  </si>
  <si>
    <t xml:space="preserve">level 2 - #transmutation Casting Time: #BonusAction, which you take immediately after hitting a creature with a Melee weapon or an Unarmed Strike Range: Self Components: V Duration: #Concentration, up to 1 minute 
The target hit by the strike takes an extra 2d6 Radiant damage from the attack. Until the spell ends, the target sheds Bright Light in a 5-foot radius, attack rolls against it have Advantage, and it can't benefit from the Invisible condition. 
Using a Higher-Level Spell Slot. The damage increases by 1d6 for each spell slot level above 2_x000D_
</t>
  </si>
  <si>
    <t>Shocking Grasp.md</t>
  </si>
  <si>
    <t>Silence.md</t>
  </si>
  <si>
    <t xml:space="preserve">level 2 - #illusion ( #ritual ) Casting Time: Action or Ritual Range: 120 feet Components: V, S Duration: #Concentration, up to 10 minutes 
For the duration, no sound can be created within or pass through a 20-foot-radius Sphere centered on a point you choose within range. Any creature or object entirely inside the Sphere has Immunity to Thunder damage, and creatures have the Deafened condition while entirely inside it. Casting a spell that includes a Verbal component is impossible there._x000D_
</t>
  </si>
  <si>
    <t>Silent Image.md</t>
  </si>
  <si>
    <t xml:space="preserve">level 1 - #illusion Casting Time: Action Range: 60 feet Components: V, S, M (a bit of fleece) Duration: #Concentration, up to 10 minutes 
You create the image of an object, a creature, or some other visible phenomenon that is no larger than a 15-foot Cube. The image appears at a spot within range and lasts for the duration. The image is purely visual; it isn't accompanied by sound, smell, or other sensory effects. 
As a Magic action, you can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since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image._x000D_
</t>
  </si>
  <si>
    <t>Simulacrum.md</t>
  </si>
  <si>
    <t xml:space="preserve">level 7 - #illusion Casting Time: 12 hours Range: Touch Components: V, S, M (powdered ruby worth 1,500+ GP, which the spells consumes) Duration: Until dispelled 
You create a simulacrum of one Beast or Humanoid that is within 10 feet of you for the entire casting of the spell. You finish the casting by touching both the creature and a pile of ice or snow that is the same size as that creature, and the pile turns into the simulacrum, which is a creature. It uses the game statistics of the original creature at the time of casting, except it is a Construct, its Hit Point maximum is half as much, and it can't cast this spell.
The simulacrum is Friendly to you and creatures you designate. It obeys your commands and acts on your turn in combat. The simulacrum can't gain levels, and it can't take Short or Long Rests. If the simulacrum takes damage, the only way to restore its Hit Points is to repair it as you take a Long Rest, during which you expend components worth 100 GP per Hit Point restored. The simulacrum must stay within 5 feet of you for the repair.
The simulacrum lasts until it drops to 0 Hit Points, at which point it reverts to snow and melts away. If you cast this spell again, any simulacrum you created with this spell is instantly destroyed_x000D_
</t>
  </si>
  <si>
    <t>Sleep.md</t>
  </si>
  <si>
    <t>Sleet Storm.md</t>
  </si>
  <si>
    <t>Slow.md</t>
  </si>
  <si>
    <t xml:space="preserve">level 3 - #transmutation Casting Time: Action Range: 120 feet Components: V, S, M (a drop of molasses) Duration: #Concentration, up to 1 minute 
You alter time around up to six creatures of your choice in a 40- foot Cube within range. Each target must succeed on a Wisdom saving throw or be affected by this spell for the duration. 
An affected target's Speed is halved, it takes a âˆ’2 penalty to AC and Dexterity saving throws, and it can't take Reactions. On its turns, it can take either an action or a Bonus Action, not both, and it can make only one attack if it takes the Attack action. If it casts a spell with a Somatic component, there is a 25 percent chance the spell fails as a result of the target making the spell's gestures too slowly. 
An affected target repeats the save at the end of each of its turns, ending the spell on itself on a success_x000D_
</t>
  </si>
  <si>
    <t>Sorcerous Burst.md</t>
  </si>
  <si>
    <t xml:space="preserve">level 0 - #evocation Casting Time: Action Range: 120 feet Components: V, S Duration: Instantaneous 
You cast sorcerous energy at one creature or object within range. Make a ranged attack roll against the target. On a hit, the target takes 1d8 damage of a type you choose: Acid, Cold, Fire, Lightning, Poison, Psychic, or Thunder. 
If you roll an 8 on a d8 for this spell, you can roll another d8, and add it to the damage. When you cast this spell, the maximum number of these d8s you can add to the spell's damage equals your spellcasting ability modifier. 
Cantrip Upgrade. This damage increases by 1d8 when you reach level 5 (2d8), 11 (3d8), and 17 (4d8)._x000D_
</t>
  </si>
  <si>
    <t>Spare the Dying.md</t>
  </si>
  <si>
    <t xml:space="preserve">level 0 - #necromancy Casting Time: Action Range: 15 feet Components: V, S Duration: Instantaneous 
Choose a creature within range that has 0 Hit Points and isn't dead. The creature becomes Stable. 
Cantrip Upgrade. The range doubles when you reach levels 5 (30 feet), 11 (60 feet), and 17 (120 feet)_x000D_
</t>
  </si>
  <si>
    <t>Speak with Animals.md</t>
  </si>
  <si>
    <t>Speak with Dead.md</t>
  </si>
  <si>
    <t xml:space="preserve">level 3 - #necromancy Casting Time: Action Range: 10 feet Components: V, S, M (burning incense) Duration: 10 minutes 
You grant the semblance of life to a corpse of your choice within range, allowing it to answer questions you pose. The corpse must have a mouth, and this spell fails if the deceased creature was Undead when it died. The spell also fails if the corpse was the target of this spell within the past 10 days. 
Until the spell ends, you can ask the corpse up to five questions. The corpse knows only what it knew in life, including the languages it knew. Answers are usually brief, cryptic, or repetitive, and the corpse is under no compulsion to offer a truthful answer if you are antagonistic toward it or it recognizes you as an enemy. This spell doesn't return the creature's soul to its body, only its animating spirit. Thus, the corpse can't learn new information, doesn't comprehend anything that has happened since it died, and can't speculate about future events._x000D_
</t>
  </si>
  <si>
    <t>Speak with Plants.md</t>
  </si>
  <si>
    <t xml:space="preserve">level 3 - #transmutation Casting Time: Action Range: Self Components: V, S Duration: 10 minutes 
You imbue plants in an immobile 30-foot Emanation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The spell doesn't enable plants to uproot themselves and move about, but they can move their branches, tendrils, and stalks for you. 
If a Plant creature is in the area, you can communicate with it as if you shared a common language._x000D_
</t>
  </si>
  <si>
    <t>Spider Climb.md</t>
  </si>
  <si>
    <t xml:space="preserve">level 2 - #transmutation Casting Time: Action Range: Touch Components: V, S, M (a drop of bitumen and a spider) Duration: #Concentration, up to 1 hour 
Until the spell ends, one willing creature you touch gains the ability to move up, down, and across vertical surfaces and along ceilings, while leaving its hands free. The target also gains a Climb Speed equal to its Speed. 
Using a Higher-Level Spell Slot. You can target one additional creature for each spell slot level about 2._x000D_
</t>
  </si>
  <si>
    <t>Spike Growth.md</t>
  </si>
  <si>
    <t xml:space="preserve">level 2 - #transmutation Casting Time: Action Range: 150 feet Components: V, S, M (seven thorns) Duration: #Concentration, up to 10 minutes 
The ground in a 20-foot-radius Sphere centered on a point within range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when the spell is cast must take a Search action and succeed on a Wisdom (Perception or Survival) check against your spell save DC to recognize the terrain as hazardous before entering it_x000D_
</t>
  </si>
  <si>
    <t>Spirit Guardians.md</t>
  </si>
  <si>
    <t xml:space="preserve">level 3 - #conjuration Casting Time: Action Range: Self Components: V, S, M (a prayer scroll) Duration: #Concentration, up to 10 minutes 
Protective spirits flit around you in a 15-foot Emanation for the duration. If you are good or neutral, their spectral form appears angelic or fey (your choice). If you are evil, they appear fiendish. When you cast this spell, you can designate creatures to be unaffected by it. Any other creature's Speed is halved in the Emanation, and whenever the Emanation enters a creature's space and whenever a creature enters the Emanation or ends its turn there, the creature must make a Wisdom saving throw. On a failed save, the creature takes 3d8 Radiant damage (if you are good or neutral) or 3d8 Necrotic damage (if you are evil). On a successful save, the creature takes half as much damage. A creature makes this save only once per turn. 
Using a Higher-Level Spell Slot. The damage increases by 1d8 for each spell slot level above 3_x000D_
</t>
  </si>
  <si>
    <t>Spiritual Weapon.md</t>
  </si>
  <si>
    <t>Staggering Smite.md</t>
  </si>
  <si>
    <t xml:space="preserve">level 4 - #enchantment Casting Time: #BonusAction, which you take immediately after hitting a creature with a Melee weapon or an Unarmed Strike Range: Self Components: V Duration: Instantaneous 
The target takes an extra 4d6 Psychic damage from the attack, and the target must succeed on a Wisdom saving throw or have the Stunned condition until the end of your next turn. 
Using a Higher-Level Spell Slot. The extra damage increases by 1d6 for each spell slot level above 4_x000D_
</t>
  </si>
  <si>
    <t>Starry Wisp.md</t>
  </si>
  <si>
    <t xml:space="preserve">level 0 - #evocation Casting Time: Action Range: 60 feet Components: V, S Duration: Instantaneous 
You launch a mote of light at one creature or object within range. Make a ranged spell attack against the target. On a hit, the target takes 1d8 Radiant damage, and until the end of your next turn, it emits Dim Light in a 10-foot radius and can't benefit from the Invisible condition. 
Cantrip Upgrade. The damage increases by 1d8 when you reach levels 5 (2d8), 11 (3d8), and 17 (4d8)_x000D_
</t>
  </si>
  <si>
    <t>Steel Wind Strike.md</t>
  </si>
  <si>
    <t xml:space="preserve">level 5 - #conjuration Casting Time: Action Range: 30 feet Components: S, M (a Melee weapon worth 1+ SP) Duration: Instantaneous 
Description not available (not OGL)_x000D_
</t>
  </si>
  <si>
    <t>Stinking Cloud.md</t>
  </si>
  <si>
    <t xml:space="preserve">level 3 - #conjuration Casting Time: Action Range: 90 feet Components: V, S, M (a rotten egg) Duration: #Concentration, up to 1 minute 
You create a 20-foot-radius Sphere of yellow, nauseating gas centered on a point within range. The cloud is Heavily Obscured. The cloud lingers in the air for the duration or until a strong wind (such as the one created by Gust of Wind) disperses it. 
Each creature that starts its turn in the Sphere must succeed on a Constitution saving throw or have the Poisoned condition until the end of the current turn. While Poisoned in this way, the creature can't take an action or a Bonus Action._x000D_
</t>
  </si>
  <si>
    <t>Stone Shape.md</t>
  </si>
  <si>
    <t xml:space="preserve">level 4 - #transmutation Casting Time: Action Range: Touch Components: V, S, M (soft clay) Duration: Instantaneous 
You touch a stone object of Medium size or smaller or a section of stone no more than 5 feet in any dimension and form it into any shape you like. For example, you could shape a large rock into a weapon, statue, or coffer, or you could make a small passage through a wall that is 5 feet thick. You could also shape a stone door or its frame to seal the door shut. The object you create can have up to two hinges and a latch, but finer mechanical detail isn't possible._x000D_
</t>
  </si>
  <si>
    <t>Stoneskin.md</t>
  </si>
  <si>
    <t xml:space="preserve">level 4 - #transmutation Casting Time: Action Range: Touch Components: V, S, M (diamond dust worth 100+ GP, which the spell consumes) Duration: #Concentration, up to 1 hour 
Until the spell ends, one willing creature you touch has Resistance to Bludgeoning, Piercing, and Slashing damage_x000D_
</t>
  </si>
  <si>
    <t>Storm of Vengeance.md</t>
  </si>
  <si>
    <t xml:space="preserve">level 9 - #conjuration Casting Time: Action Range: 1 mile Components: V, S Duration: #Concentration, up to 1 minute 
A churning storm cloud forms for the duration, centered on a point within range and spreading to a radius of 300 feet. Each creature under the cloud when it appears must succeed on a Constitution saving throw or take 2d6 Thunder damage and have the Deafened condition for the duration. 
At the start of each of your later turns, the storm produces different effects, as detailed below. 
**Turn 2**. Acidic rain falls. Each creature and object under the cloud takes 4d6 Acid damage. 
**Turn 3**. You call six bolts of lightning from the cloud to strike six different creatures or objects beneath it. Each target makes a Dexterity saving throw, taking 10d6 Lightning damage on a failed save or half as much damage on a successful one. 
**Turn 4**. Hailstones rain down. Each creature under the cloud takes 2d6 Bludgeoning damage. 
**Turns 5-10**. Gusts and freezing rain assail the area under the cloud. Each creature there takes 1d6 Cold damage. Until the spell ends, the area is Difficult Terrain and Heavily Obscured, ranged attacks with weapons are impossible there, and strong wind blows through the area._x000D_
</t>
  </si>
  <si>
    <t>Suggestion.md</t>
  </si>
  <si>
    <t xml:space="preserve">level 2 - #enchantment Casting Time: Action Range: 30 feet Components: V, M (a drop of honey) Duration: #Concentration, up to 8 hours 
You suggest a course of activityâ€”described in no more than 25 wordsâ€”to one creature you can see within range that can hear and understand you. The suggestion must sound achievable and not involve anything that would obviously deal damage to the target or its allies. For example, you could say, â€œFetch the key to the cult's treasure vault, and give the key to me.â€ Or you could say, â€œStop fighting, leave this library peacefully, and don't return.â€ 
The target must succeed on a Wisdom saving throw or have the Charmed condition for the duration or until you or your allies deal damage to the target. The Charmed target pursues the suggestion to the best of its ability. The suggested activity can continue for the entire duration, but if the suggested activity can be completed in a shorter time, the spell ends for the target upon completing it_x000D_
</t>
  </si>
  <si>
    <t>Summon Aberration.md</t>
  </si>
  <si>
    <t xml:space="preserve">level 4 - #conjuration Casting Time: Action Range: 90 feet Components: V, S, M (a pickled tentacle and an eyeball in a platinum-inlaid vial worth 400+ GP) Duration: #Concentration, up to 1 hour 
You call forth an aberrant spirit. It manifests in an unoccupied space that you can see within range and uses the Aberrant Spirit stat block. When you cast the spell, choose Beholderkin, Mind Flayer, or Slaad. The creature resembles an Aberration of that kind, which determines certain details in its stat block. The creature disappears when it drops to 0 Hit Points or when the spell ends. 
The creature is an ally to you and your allies. In combat, it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</si>
  <si>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Beast.md</t>
  </si>
  <si>
    <t xml:space="preserve">level 2 - #conjuration Casting Time: Action Range: 90 feet Components: V, S, M (a feather, tuft of fur, and fish tail inside a gilded acorn worth 200+ GP) Duration: #Concentration, up to 1 hour 
You call forth a bestial spirit. It manifests in an unoccupied space that you can see within range and uses the Bestial Spirit stat block. When you cast the spell, choose an environment: Air, Land, or Water. The creature resembles an animal of your choice that is native to the chosen environment, which determines certain details in its stat block. The creature disappears when it drops to O Hit Points or when the spell ends. 
The creature is an ally to you and your allies. In combat, the creature shares your Initiative count, but it takes its turn immediately afler yours. It obeys your verbal commands (no action required by you). If you don't issue any, it takes the Dodge action and uses its movement to avoid danger. 
Using a Higher-Level Spell Slot. Use the spell slot's level for the spell's level in the stat block._x000D_
</t>
  </si>
  <si>
    <t>Summon Celestial.md</t>
  </si>
  <si>
    <t xml:space="preserve">level 5 - #conjuration Casting Time: Action Range: 90 feet Components: V, S, M (a reliquary worth 500+ GP) Duration: #Concentration, up to 1 hour 
You call forth a Celestial spirit. It manifests in an angelic form in an unoccupied space that you can see within range and uses the Celestial Spirit stat block. When you cast the spell, choose Avenger or Defender. Your choice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</si>
  <si>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Construct.md</t>
  </si>
  <si>
    <t xml:space="preserve">level 4 - #conjuration Casting Time: Action Range: 90 feet Components: V, S, M (a lockbox worth 400+ GP) Duration: #Concentration, up to 1 hour 
You call forth the spirit of a Construct. It manifests in an unoccupied space that you can see within range and uses the **Construct Spirit** stat block. When you cast the spell, choose a material: Clay, Metal, or Stone. The creature resembles an animate statue (you determine the appearance) made of the chosen material,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</si>
  <si>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Dragon.md</t>
  </si>
  <si>
    <t xml:space="preserve">level 5 - #conjuration Casting Time: Action Range: 60 feet Components: V, S, M (an object with the image of a dragon engraved on it worth 500+ GP) Duration: #Concentration, up to 1 hour 
You call forth a Dragon spirit. It manifests in an unoccupied space that you can see within range and uses the Draconic Spirit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</si>
  <si>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Elemental.md</t>
  </si>
  <si>
    <t xml:space="preserve">level 4 - #conjuration Casting Time: Action Range: 90 feet Components: V, S, M (air, a pebble, ash, and water inside a gold- inlaid vial worth 400+ GP) Duration: #Concentration, up to 1 hour 
You call forth an Elemental spirit. It manifests in an unoccupied space that you can see within range and uses the **Elemental Spirit** stat block. When you cast the spell, choose an element: Air, Earth, Fire, or Water. The creature resembles a bipedal form wreathed in the chosen element, which determines certain details in its stat block. The creature disappears when it drops to O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</si>
  <si>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Fey.md</t>
  </si>
  <si>
    <t xml:space="preserve">level 3 - #conjuration Casting Time: Action Range: 90 feet Components: V, S, M (a gilded flower worth 300+ GP) Duration: #Concentration, up to 1 hour 
You call forth a Fey spirit. It manifests in an unoccupied space that you can see within range and uses the **Fey Spirit** stat block. When you cast the spell, choose a mood: Fuming, Mirthful, or Tricksy. The creature resembles a Fey creature of your choice marked by the chosen mood,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</si>
  <si>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Fiend.md</t>
  </si>
  <si>
    <t xml:space="preserve">level 6 - #conjuration Casting Time: Action Range: 90 feet Components: V, S, M (a bloody vial worth 600+ GP) Duration: #Concentration, up to 1 hour 
You call forth a fiendish spirit. It manifests in an unoccupied space that you can see within range and uses the **Fiendish Spirit** stat block. When you cast the spell, choose Demon, Devil, or Yugoloth. The creature resembles a Fiend of the chosen type,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Hevel for the spell's level in the stat block_x000D_
</t>
  </si>
  <si>
    <t>Summon Undead.md</t>
  </si>
  <si>
    <t xml:space="preserve">level 3 - #necromancy Casting Time: Action Range: 90 feet Components: V, S, M (a gilded skull worth 300+ GP) Duration: #Concentration, up to 1 hour 
You call forth an Undead spirit. It manifests in an unoccupied space that you can see within range and uses the Undead Spirit stat block. When you cast the spell, choose the creature's form: Ghostly, Putrid, or Skeletal. The spirit resembles an Undead creature with the chosen form,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</si>
  <si>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Sunbeam.md</t>
  </si>
  <si>
    <t xml:space="preserve">level 6 - #evocation Casting Time: Action Range: Self Components: V, S, M (a magnifying glass) Duration: #Concentration, up to 1 minute 
You launch a sunbeam in a 5-foot-wide, 60-foot-long Line. Each creature in the Line makes a Constitution saving throw. On a failed save, a creature takes 6d8 Radiant damage and has the Blinded condition until the start of your next turn. On a successful save, it takes half as much damage only. 
Until the spell ends, you can take a Magic action to create a new Line of radiance. 
For the duration, a mote of brilliant radiance shines above you. It sheds Bright Light in a 30-foot radius and Dim Light for an additional 30 feet. This light is sunlight_x000D_
</t>
  </si>
  <si>
    <t>Sunburst.md</t>
  </si>
  <si>
    <t xml:space="preserve">level 8 - #evocation Casting Time: Action Range: 150 feet Components: V, S, M (piece of sunstone) Duration: Instantaneous 
Brilliant sunlight flashes in a 60-foot-radius Sphere centered on a point you choose within range. Each creature in the Sphere makes a Constitution saving throw. On a failed save, a creature takes 12d6 Radiant damage and has the Blinded condition for 1 minute. On a successful save, it takes half as much damage only.
A creature Blinded by this spell makes another Constitution saving throw at the end of each of its turns, ending the effect on itself on a success. 
This spell dispels Darkness in its area that was created by any spell._x000D_
</t>
  </si>
  <si>
    <t>Swift Quiver.md</t>
  </si>
  <si>
    <t>Symbol.md</t>
  </si>
  <si>
    <t xml:space="preserve">level 7 - #abjuration Casting Time: 1 minute Range: Touch Components: V, S, M (powdered diamond worth 1,000+ GP, which the spell consumes) Duration: Until dispelled or triggered 
You inscribe a harmful glyph either on a surface (such as a section of floor or wall) or within an object that can be closed (such as a book or chest). The glyph can cover an area no larger than 10 feet in diameter. If you choose an object, it must remain in place; if it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which effect the symbol bears: Death, Discord, Fear, Pain, Sleep, or Stunning. Each one is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You can refine the trigger so that only creatures of certain types activate it (for example, the glyph could be set to affect Aberrations). You can also set conditions for creatures that don't trigger the glyph, such as those who say a certain password.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A creature is targeted only once per turn. 
**Death**. Each target makes a Constitution saving throw, taking 10d10 Necrotic damage on a failed save or half as much damage on a successful save. 
**Discord**. Each target makes a Wisdom saving throw. On a failed save, a target argues with other creatures for 1 minute. During this time, it is incapable of meaningful communication and has Disadvantage on attack rolls and ability checks.
**Fear**. Each target must succeed on a Wisdom saving throw or have the Frightened condition for 1 minute. While Frightened, the target must move at least 30 feet away from the glyph on each of its turns, if able. 
**Pain**. Each target must succeed on a Constitution saving throw or have the Incapacitated condition for 1 minute. 
**Sleep**. Each target must succeed on a Wisdom saving throw or have the Unconscious condition for 10 minutes. A creature awakens if it takes damage or if someone takes an action to shake it awake. 
**Stunning**. Each target must succeed on a Wisdom saving throw or have the Stunned condition for 1 minute_x000D_
</t>
  </si>
  <si>
    <t>Synaptic Static.md</t>
  </si>
  <si>
    <t xml:space="preserve">level 5 - #enchantment Casting Time: Action Range: 120 feet Components: V, S Duration: Instantaneous 
Description not available (not OGL)._x000D_
</t>
  </si>
  <si>
    <t>Tasha's Bubbling Cauldron.md</t>
  </si>
  <si>
    <t xml:space="preserve">level 6 - #conjuration Casting Time: Action Range: 5 feet Components: V, S, M (a gilded ladle worth 500+ GP) Duration: 10 minutes 
You conjure a claw-footed cauldron filled with bubbling liquid. The cauldron appears in an unoccupied space on the ground within 5 feet of you and lasts for the duration. The cauldron can't be moved, and disappears when the spell ends, along with the bubbling liquid inside of it. 
The liquid in the cauldron duplicates the properties of a Common or an Uncommon potion of your choice (such as potion of healing). As a Bonus Action, you or an ally can reach into the cauldron and withdraw one potion of that kind. The potion is contained in a vial that disappears when the potion is consumed. The cauldron can produce a number of these potions equal to your spellcasting ability modifier (minimum 1). When the last of these potions is withdrawn from the cauldron, the cauldron disappears, and the spell ends. 
Potions obtained from the cauldron that aren't consumed disappear when you cast the spell again_x000D_
</t>
  </si>
  <si>
    <t>Tasha's Hideous Laughter.md</t>
  </si>
  <si>
    <t xml:space="preserve">level 1 - #enchantment Casting Time: Action Range: 30 feet Components: V, S, M (a tart and a feather) Duration: #Concentration, up to 1 minute 
One creature of your choice that you can see within range makes a Wisdom saving throw. On a failed save, it has the Prone and Incapacitated conditions for the duration. During that time, it laughs uncontrollably if it's capable of laughter, and it can't end the Prone condition on it self. 
At the end of each of its turns and each time it takes damage, it makes another Wisdom saving throw. The target has Advantage on the save if the save is triggered by damage. On a successful save, the spell ends. 
Using a Higher-Level Spell Slot. You can target one additional creature for each spell slot level about 1_x000D_
</t>
  </si>
  <si>
    <t>Telekinesis.md</t>
  </si>
  <si>
    <t xml:space="preserve">level 5 - #transmutation Casting Time: Action Range: 60 feet Components: V, S Duration: #Concentration, up to 10 minutes 
You gain the ability to move or manipulate creatures or objects by thought. When you cast the spell and as a Magic action on your later turns before the spell ends,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The target must succeed on a Strength saving throw, or you move it up to 30 feet in any direction within the spell's range. Until the end of your next turn, the creature has the Restrained condition, and if you lift it into the air, it is suspended there. It falls at the end of your next turn unless you use this option on it again and it fails the save. 
**Object**. You can try to move a Huge or smaller object. If the object isn't being worn or carried, you automatically move it up to 30 feet in any direction within the spell's range. 
If the object is worn or carried by a creature, that creature must succeed on a Strength saving throw, or you pull the object away and move it up to 30 feet in any direction within the spell's range. You can exert fine control on objects with your telekinetic grip, such as manipulating a simple tool, opening a door or a container, stowing or retrieving an item from an open container, or pouring the contents from a vial_x000D_
</t>
  </si>
  <si>
    <t>Telepathy.md</t>
  </si>
  <si>
    <t xml:space="preserve">level 8 - #divination Casting Time: Action Range: Unlimited Components: V, S, M (a pair of linked silver rings) Duration: 24 hours 
Description not available (not OGL)_x000D_
</t>
  </si>
  <si>
    <t>Teleport.md</t>
  </si>
  <si>
    <t xml:space="preserve">level 7 - #conjuration Casting Time: Action Range: 10 feet Components: V Duration: Instantaneous 
This spell instantly transports you and up to eight willing creatures that you can see within range, or a single object that you can see within range, to a destination you select. If you target an object, it must be Large or smaller, and it canâ€™t be held or carried by an unwilling creature. The destination you choose must be known to you, and it must be on the same plane of existence as you. Your familiarity with the destination determines whether you arrive there successfully. The DM rolls 1d100 and consults the Teleportation Outcome table and the explanations after it. 
| Familiarity              | Mishap | Similar Area | Off Target | On Target |
| ------------------------ | ------ | ------------ | ---------- | --------- |
| Permanent circle         | -      | -            | -          | 01-00     |
| Linked object            | -      | -            | -          | 01â€“00     |
| Very familiar            | 01-05  | 06-13        | 14-24      | 25-00     |
| Seen casually            | 01-33  | 34-43        | 44-53      | 54-00     |
| Viewed once or described | 01-43  | 44-53        | 54-73      | 74-00     |
| False destination        | 01-50  | 51-00        | -          | -         |
  **Familiarity**. Here are the meanings of the terms in the tableâ€™s Familiarity column: 
  â€¢ â€œPermanent circleâ€ means a permanent teleportation circle whose sigil sequence you know. 
  â€¢ â€œLinked objectâ€ means you possess an object taken from the desired destination within the last six months, such as a book from a wizardâ€™s library. 
  â€¢ â€œVery familiarâ€ is a place you have visited often, a place you have carefully studied, or a place you can see when you cast the spell. 
  â€¢ â€œSeen casuallyâ€ is a place you have seen more than once but with which you arenâ€™t very familiar. 
  â€¢ â€œViewed once or describedâ€ is a place you have seen once, possibly using magic, or a place you know through someone elseâ€™s description, perhaps from a map. 
  â€¢ â€œFalse destinationâ€ is a place that doesnâ€™t exist. Perhaps you tried to scry an enemyâ€™s sanctum but instead viewed an illusion, or you are attempting to teleport to a location that no longer exists.
  **Mishap**. The spellâ€™s unpredictable magic results in a difficult journey. Each teleporting creature (or the target object) takes 3d10 Force damage, and the DM rerolls on the table to see where you wind up (multiple mishaps can occur, dealing damage each time). 
  **Similar Area**. You and your group (or the target object) appear in a different area thatâ€™s visually or thematically similar to the target area. You appear in the closest similar place. If you are heading for your home laboratory, for example, you might appear in another personâ€™s laboratory in the same city. 
  **Off Target**. You and your group (or the target object) appear 2d12 miles away from the destination in a random direction. Roll 1d8 for the direction: 1, east; 2, southeast; 3, south; 4, southwest; 5, west; 6, northwest; 7, north; or 8, northeast. 
  **On Target**. You and your group (or the target object) appear where you intended._x000D_
</t>
  </si>
  <si>
    <t>Teleportation Circle.md</t>
  </si>
  <si>
    <t xml:space="preserve">level 5 - #conjuration Casting Time: 1 minute Range: 10 feet Components: V, M (rare inks worth 50+ GP, which the spell consumes) Duration: 1 round 
As you cast the spell, you draw a 5-foot-radius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guildhalls, and other important places have permanent teleportation circles. Each circle includes a unique sigil sequenceâ€”a string of runes arranged in a particular pattern. When you first gain the ability to cast this spell, you learn the sigil sequences for two destinations on the Material Plane, determined by the DM. You might learn additional sigil sequences during your adventures. You can commit a new sigil sequence to memory after studying it for 1 minute. 
You can create a permanent teleportation circle by casting this spell in the same location every day for 365 days_x000D_
</t>
  </si>
  <si>
    <t>Tenser's Floating Disk.md</t>
  </si>
  <si>
    <t xml:space="preserve">level 1 - #conjuration ( #ritual ) Casting Time: Action or Ritual Range: 30 feet Components: V, S, M (a drop of mercury) Duration: 1 hour 
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move across uneven terrain, up or down stairs, slopes and the like, but it can't cross an elevation change of 10 feet or more. For example, the disk can't move across a 1O-foot-deep pit, nor could it leave such a pit if it was created at the bottom. 
If you move more than 100 feet from the disk (typically because it can't move around an obstacle to follow you), the spell ends_x000D_
</t>
  </si>
  <si>
    <t>Thaumaturgy.md</t>
  </si>
  <si>
    <t xml:space="preserve">level 0 - #transmutation Casting Time: Action Range: 30 feet Components: V Duration: Up to 1 minute 
You manifest a minor wonder within range. You create one of the effects below within range. If you cast this spell multiple times, you can have up to three of its 1-minute effects active at a time. 
**Altered Eyes**. You alter the appearance of your eyes for 1 minute. 
**Booming Voice**. Your voice booms up to three times as loud as normal for 1 minute. For the duration, you have Advantage on Charisma (Intimidation) checks. 
**Fire Play**. You cause flames to flicker, brighten, dim, or change color for 1 minute. 
**Invisible Hand**. You instantaneously cause an unlocked door or window to fly open or slam shut. 
**Phantom Sound**. You create an instantaneous sound that originates from a point of your choice within range, such as a rumble of thunder, the cry of a raven, or ominous whispers. 
**Tremors**. You cause harmless tremors in the ground for 1 minute_x000D_
</t>
  </si>
  <si>
    <t>Thorn Whip.md</t>
  </si>
  <si>
    <t xml:space="preserve">level 0 - #transmutation Casting Time: Action Range: 30 feet Components: V, S, M (the stem of a thorny plant) Duration: Instantaneous 
You create a vine-like whip covered in thorns that lashes out at your command toward a creature in range. Make a melee spell attack against the target. On a hit, the target takes 1d6 Piercing damage, and if it is Large or smaller, you can pull it up to 10 feet closer to you. 
Cantrip Upgrade. The damage increases by 1d6 when you reach levels 5 (2d6), 11 (3d6), and 17 (4d6)_x000D_
</t>
  </si>
  <si>
    <t>Thunderclap.md</t>
  </si>
  <si>
    <t xml:space="preserve">level 0 - #evocation Casting Time: Action Range: Self Components: S Duration: Instantaneous 
Each creature in a 5-foot Emanation originating from you must succeed on a Constitution saving throw or take 1d6 Thunder damage. The spell's thunderous sound can be heard up to 100 feet away. 
Cantrip Upgrade. The damage increases by 1d6 when you reach levels 5 (2d6), 11 (3d6), and 17 (4d6)_x000D_
</t>
  </si>
  <si>
    <t>Thunderous Smite.md</t>
  </si>
  <si>
    <t xml:space="preserve">level 1 - #evocation Casting Time: #BonusAction, which you take immediately after hitting a target with a Melee weapon or an Unarmed Strike Range: Self Components: V Duration: Instantaneous 
Your strike rings with thunder that is audible within 300 feet of you, and the target takes an extra 2d6 Thunder damage from the attack. Additionally, if the target is a creature, it must succeed on a Strength saving throw or be pushed 10 feet away from you and have the Prone condition. 
Using a Higher-Level Spell Slot. The damage increases by 1d6 for each spell slot level above 1_x000D_
</t>
  </si>
  <si>
    <t>Thunderwave.md</t>
  </si>
  <si>
    <t xml:space="preserve">level 1 - #evocation Casting Time: Action Range: Self Components: V, S Duration: Instantaneous 
You unleash a wave of thunderous energy. Each creature in a 15- foot Cube originating from you makes a Constitution saving throw. On a failed save, a creature takes 2d8 Thunder damage and is pushed 10 feet away from you. On a successful save, a creature takes half as much damage only. 
In addition, unsecured objects that are entirely within the Cube are pushed 10 feet away from you, and a thunderous boom is audible within 300 feet. 
Using a Higher-Level Spell Slot. The damage increases by 1d8 for each spell slot level above 1_x000D_
</t>
  </si>
  <si>
    <t>Time Stop.md</t>
  </si>
  <si>
    <t xml:space="preserve">level 9 - #transmutation Casting Time: Action Range: Self Components: V Duration: Instantaneous 
You briefly stop the flow of time for everyone but yourself. No time passes for other creatures, while you take 1d4 + 1 turns in a row, during which you can use actions and move as normal. 
This spell ends if one of the actions you use during this period, or any effects that you create during it, affects a creature other than you or an object being worn or carried by someone other than you. In addition, the spell ends if you move to a place more than 1,000 feet from the location where you cast it._x000D_
</t>
  </si>
  <si>
    <t>Toll the Dead.md</t>
  </si>
  <si>
    <t xml:space="preserve">Level 0 - #necromancy Casting Time: Action Range: 60 feet Components: V, S Duration: Instantaneous 
You point at one creature you can see within range, and the single chime of a dolorous bell is audible within 10 feet of the target. The target must succeed on a Wisdom saving throw or take 1d8 Necrotic damage. If the target is missing any of its Hit Points it instead takes 1d12 Necrotic damage. 
Cantrip Upgrade. The damage increases by one die when you reach levels 5 (2d8 or 2d12), 11 (3d8 or 3d12), and 17 (4d8 or 4d12)_x000D_
</t>
  </si>
  <si>
    <t>Tongues.md</t>
  </si>
  <si>
    <t xml:space="preserve">level 3 - #divination Casting Time: Action Range: Touch Components: V, M (a miniature ziggurat) Duration: 1 hour 
This spell grants the creature you touch the ability to understand any spoken or signed language that it hears or sees. Moreover, when the target communicates by speaking or signing, any creature that knows at least one language can understand it if that creature can hear the speech or see the signing._x000D_
</t>
  </si>
  <si>
    <t>Transport via Plants.md</t>
  </si>
  <si>
    <t xml:space="preserve">level 6 - #conjuration Casting Time: Action Range: 10 feet Components: V, S Duration: 1 minute 
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movement_x000D_
</t>
  </si>
  <si>
    <t>Tree Stride.md</t>
  </si>
  <si>
    <t xml:space="preserve">level 5 - #conjuration Casting Time: Action Range: Self Components: V, S Duration: #Concentration, up to 1 minute 
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only once on each of your turns. You must end each turn outside a tree_x000D_
</t>
  </si>
  <si>
    <t>True Polymorph.md</t>
  </si>
  <si>
    <t>True Resurrection.md</t>
  </si>
  <si>
    <t xml:space="preserve">level 9 - #necromancy Casting Time: 1 hour Range: Touch Components: V, S, M (diamonds worth 25,000+ GP, which the spell consumes) Duration: Instantaneous 
You touch a creature that has been dead for no longer than 200 years and that died for any reason except old age. The creature is revived with all its Hit Points. 
This spell closes all wounds, neutralizes any poison, cures all magical contagions, and lifts any curses affecting the creature when it died. The spell replaces damaged or missing organs and limbs. If the creature was Undead, it is restored to its non-Undead form. 
The spell can provide a new body if the original no longer exists, in which case you must speak the creature's name. The creature then appears in an unoccupied space you choose within 10 feet of you_x000D_
</t>
  </si>
  <si>
    <t>True Seeing.md</t>
  </si>
  <si>
    <t xml:space="preserve">level 6 - #divination Casting Time: Action Range: Touch Components: V, S, M (mushroom powder worth 25+ GP, which the spell consumees) Duration: 1 hour 
For the duration, the willing creature you touch has Truesight with a range of 120 feet._x000D_
</t>
  </si>
  <si>
    <t>True Strike.md</t>
  </si>
  <si>
    <t xml:space="preserve">level 0 - #divination Casting Time: Action Range: Self Components: S, M (a weapon with which you have proficiency and that is worth 1+ CP) Duration: Instantaneous 
Guided by a flash of magical insight, you make one attack with the weapon used in the spell's casting. The attack uses your spellcasting ability for the attack and damage rolls instead of using Strength or Dexterity. If the attack deals damage, it can be Radiant damage or the weapon's normal damage type (your choice). 
**Cantrip Upgrade**. Whether you deal Radiant damage or the weapon's normal damage type, the attack deals extra Radiant damage when you reach levels 5 (1d6), 11 (2d6), and 17 (3d6)_x000D_
</t>
  </si>
  <si>
    <t>Tsunami.md</t>
  </si>
  <si>
    <t xml:space="preserve">level 8 - #conjuration Casting Time: 1 minute Range: 1 mile Components: V, S Duration: #Concentration, up to 6 rounds 
A wall of water springs into existence at a point you choose within range. You can make the wall up to 300 feet long, 300 feet high, and 50 feet thick. The wall lasts for the duration. When the wall appears, each creature in its area makes a Strength saving throw, taking 6d10 Bludgeoning damage on a failed save or half as much damage on a successful one.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the wall deals on later rounds is reduced by 1d10. When the wall reaches O feet in height, the spell ends. 
A creature caught in the wall can move by swimming. Because of the wave's force, though, the creature must succeed on a Strength (Athletics) check against your spell save DC to move at all. If it fails the check, it can't move. A creature that moves out of the wall falls to the ground._x000D_
</t>
  </si>
  <si>
    <t>Unseen Servant.md</t>
  </si>
  <si>
    <t>Vampiric Touch.md</t>
  </si>
  <si>
    <t xml:space="preserve">level 3 - #necromancy Casting Time: Action Range: Self Components: V, S Duration: #Concentration, up to 1 minute 
The touch of your shadow-wreathed hand can siphon life force from others to heal your wounds. Make a melee spell attack against one creature within reach. On a hit, the target takes 3d6 Necrotic damage, and you regain Hit Points equal to half the amount of Necrotic damage dealt. 
Until the spell ends, you can make the attack again on each of your turns as a Magic action, targeting the same creature or a different one. 
Using a Higher-Level Spell Slot. The damage increases by 1d6 for each spell slot level above 3._x000D_
</t>
  </si>
  <si>
    <t>Vicious Mockery.md</t>
  </si>
  <si>
    <t xml:space="preserve">level 0 - #enchantment Casting Time: Action Range: 60 feet Components: V Duration: Instantaneous 
You unleash a string of insults laced with subtle enchantments at one creature you can see or hear within range. The target must succeed on a Wisdom saving throw or take 1d6 Psychic damage and have Disadvantage on the next attack roll it makes before the end of its next turn. 
Cantrip Upgrade. The damage increases by 1d6 when you reach level 5 (2d6), level 11 (3d6), and level 17 (4d6)._x000D_
</t>
  </si>
  <si>
    <t>Vitriolic Sphere.md</t>
  </si>
  <si>
    <t xml:space="preserve">level 4 - #evocation Casting Time: Action Range: 150 feet Components: V, S, M (a drop of bile) Duration: Instantaneous 
You point at a location within range, and a glowing, 1-foot- diameter ball of acid streaks there and explodes in a 20-foot-radius Sphere. Each creature in that area makes a Dexterity saving throw. On a failed save, a creature takes 10d4 Acid damage and another Sd4 Acid damage at the end of its next turn. On a successful save, a creature takes half the initial damage only. 
Using a Higher-Level Spell Slot. The initial damage increases by 2d4 for each spell slot level above 4_x000D_
</t>
  </si>
  <si>
    <t>Wall of Fire.md</t>
  </si>
  <si>
    <t xml:space="preserve">level 4 - #evocation Casting Time: Action Range: 120 feet Components: V, S, M (a piece of charcoal) Duration: #Concentration, up to 1 minute 
You create a wall of fire on a solid surface within range. You can make the wall up to 60 feet long, 20 feet high, and 1 foot thick, or a ringed wall up to 20 feet in diameter, 20 feet high, and 1 foot thick. The wall is opaque and lasts for the duration. 
When the wall appears, each creature in its area makes a Dexterity saving throw, taking 5d8 Fire damage on a failed save or half as much damage on a successful one.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 
Using a Higher-Level Spell Slot. The damage increases by 1d8 for each spell slot level above 4._x000D_
</t>
  </si>
  <si>
    <t>Wall of Force.md</t>
  </si>
  <si>
    <t xml:space="preserve">level 5 - #evocation Casting Time: Action Range: 120 feet Components: V, S, M (a sharp of glass) Duration: #Concentration, up to 10 minutes 
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globe with a radius of up to 10 feet, or you can shape a flat surface made up of ten 10-foot-by-10-foot panels. Each panel must be contiguous with another panel. In any form, the wall is 1/4 inch thick and lasts for the duration. If the wall cuts through a creature's space when it appears, the creature is pushed to one side of the wall (you choose which side). 
Nothing can physically pass through the wall. It is immune to all damage and can't be dispelled by Dispel Magic. A Disintegrate spell destroys the wall instantly, however. The wall also extends into the Ethereal Plane and blocks ethereal travel through the wall._x000D_
</t>
  </si>
  <si>
    <t>Wall of Ice.md</t>
  </si>
  <si>
    <t xml:space="preserve">level 6 - #evocation Casting Time: Action Range: 120 feet Components: V, S, M (a piece of quartz) Duration: #Concentration, up to 10 minutes 
You create a wall of ice on a solid surface within range. You can form it into a hemispherical dome or a globe with a radius of up to 10 feet, or you can shape a flat surface made up of ten 10-foot- square panels. Each panel must be contiguous with another panel. In any form, the wall is 1 foot thick and lasts for the duration. 
If the wall cuts through a creature's space when it appears, the creature is pushed to one side of the wall (you choose which side) and makes a Dexterity saving throw, taking 10d6 Cold damage on a failed save or half as much damage on a successful one. 
The wall is an object that can be damaged and thus breached. It has AC 12 and 30 Hit Points per 10-foot section, and it has Immunity to Cold, Poison, and Psychic damage and Vulnerability to Fire damage. Reducing a 10-foot section of wall to 0 Hit Points destroys it and leaves behind a sheet of frigid air in the space the wall occupied. 
A creature moving through the sheet of frigid air for the first time on a turn makes a Constitution saving throw, taking 5d6 Cold damage on a failed save or half as much damage on a successful one. 
Using a Higher-Level Spell Slot. The damage the wall deals when it appears increases by 2d6 and the damage from passing through the sheet of frigid air increases by 1d6 for each spell slot level above 6_x000D_
</t>
  </si>
  <si>
    <t>Wall of Stone.md</t>
  </si>
  <si>
    <t>Wall of Thorns.md</t>
  </si>
  <si>
    <t xml:space="preserve">level 6 - #conjuration Casting Time: Action Range: 120 feet Components: V, S, M (a handful of thorns) Duration: #Concentration, up to 10 minutes 
You create a wall of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in its area makes a Dexterity saving throw, taking 7d8 Piercing damage on a failed save or half as much damage on a successful one. 
A creature can move through the wall, albeit slowly and painfully. For every 1 foot a creature moves through the wall, it must spend 4 feet of movement. Furthermore, the first time a creature enters a space in the wall on a turn or ends its turn there, the creature makes a Dexterity saving throw, taking 7d8 Slashing damage on a failed save or half as much damage on a successful one. A creature makes this save only once per turn. 
Using a Higher-Level Spell Slot. Both types of damage increase by 1d8 for each spell slot level above 6_x000D_
</t>
  </si>
  <si>
    <t>Warding Bond.md</t>
  </si>
  <si>
    <t xml:space="preserve">level 2 - #abjuration Casting Time: Action Range: Touch Components: V, S, M (a pair of platinum rings worth 50+ GP each, which you and the target must wear for the duration) Duration: 1 hour 
You touch another creature that is willing and create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creatures_x000D_
</t>
  </si>
  <si>
    <t>Water Breathing.md</t>
  </si>
  <si>
    <t xml:space="preserve">level 3 - #transmutation ( #ritual ) Casting Time: Action or Ritual Range: 30 feet Components: V, S, M (a short reed) Duration: 24 hours 
This spell grants up to ten willing creatures of your choice within range the ability to breathe underwater until the spell ends. Affected creatures also retain their normal mode of respiration_x000D_
</t>
  </si>
  <si>
    <t>Water Walk.md</t>
  </si>
  <si>
    <t xml:space="preserve">level 3 - #transmutation ( #ritual ) Casting Time: Action or Ritual Range: 30 feet Components: V, S, M (a piece of cork) Duration: 1 hour 
This spell grants the ability to move across any liquid surfaceâ€”such as water, acid, mud, snow, quicksand, or lavaâ€”as if it were harmless solid ground (creatures crossing molten lava can still take damage from the heat). Up to ten willing creatures of your choice within range gain this ability for the duration. 
An affected target must take a Bonus Action to pass from the liquid's surface into the liquid itself and vice versa, but if the target falls into the liquid, the target passes through the surface into the liquid below_x000D_
</t>
  </si>
  <si>
    <t>Web.md</t>
  </si>
  <si>
    <t xml:space="preserve">level 2 - #conjuration Casting Time: Action Range: 60 feet Components: V, S, M (a bit of spiderweb) Duration: #Concentration, up to 1 hour 
You conjure a mass of sticky webbing at a point within range. The webs fill a 20-foot Cube there for the duration. The webs are Difficult Terrain, and the area within them is Lightly Obscured. If the webs aren't anchored between two solid masses (such as walls or trees) or layered across a floor, wall, or ceiling, the web collapses on itself, and the spell ends at the start of your next turn. Webs layered over a flat surface have a depth of 5 feet. 
The first time a creature enters the webs on a turn or starts its turn there, it must succeed on a Dexterity saving throw or have the Restrained condition while in the webs or until it breaks free. A creature Restrained by the webs can take an action to make a Strength (Athletics) check against your spell save DC. If it succeeds, it is no longer Restrained. 
The webs are flammable. Any 5-foot Cube of webs exposed to fire burns away in 1 round, dealing 2d4 Fire damage to any creature that starts its turn in the fire._x000D_
</t>
  </si>
  <si>
    <t>Weird.md</t>
  </si>
  <si>
    <t xml:space="preserve">level 9 - #illusion Casting Time: Action Range: 120 feet Components: V, S Duration: #Concentration, up to 1 minute 
You try to create illusory terrors in others' minds. Each creature of your choice in a 30-foot-radius Sphere centered on a point within range makes a Wisdom saving throw. On a failed save, a target takes 10d10 Psychic damage and has the Frightened condition for the duration. On a successful save, a target takes half as much damage only. 
A Frightened target makes a Wisdom saving throw at the end of each of its turns. On a failed save, it takes 5d10 Psychic damage. On a successful save, the spell ends on that target_x000D_
</t>
  </si>
  <si>
    <t>Wind Walk.md</t>
  </si>
  <si>
    <t xml:space="preserve">level 6 - #transmutation Casting Time: 1 minute Range: 30 feet Components: V, S, M (a candle) Duration: 8 hours 
You and up to ten willing creatures of your choice within range assume gaseous forms for the duration, appearing as wisps of cloud. While in this cloud form, a target has a Fly Speed of 300 feet and can hover; it has Immunity to the Prone condition; and it has Resistance to Bludgeoning, Piercing, and Slashing damage. The only actions a target can take in this form are the Dash action or a Magic action to begin reverting to its normal form. Reverting takes 1 minute, during which the target has the Stunned condition. Until the spell ends, the target can revert to cloud form, which also requires a Magic action followed by a 1-minute transformation. 
If a target is in cloud form and flying when the effect ends, the target descends 60 feet per round for 1 minute until it lands, which it does safely. If it can't land after 1 minute, it falls the remaining distance_x000D_
</t>
  </si>
  <si>
    <t>Wind Wall.md</t>
  </si>
  <si>
    <t xml:space="preserve">level 3 - #evocation Casting Time: Action Range: 120 feet Components: V, S, M (a fan and a feather) Duration: #Concentration, up to 1 minute 
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in its area makes a Strength saving throw, taking 4d8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miss automatically. Boulders hurled by Giants or siege engines, and similar projectiles, are unaffected. Creatures in gaseous form can't pass through it_x000D_
</t>
  </si>
  <si>
    <t>Wish.md</t>
  </si>
  <si>
    <t xml:space="preserve">level 9 - #conjuration Casting Time: Action Range: Self Components: V Duration: Instantaneous 
Wish is the mightiest spell a mortal can cast. By simply speaking aloud, you can alter reality itself. The basic use of this spell is to duplicate any other spell of level 8 or lower. If you use it this way, you don't need to meet any requirements to cast that spell, including costly components. The spell simply takes effect. Alternatively, you can create one of the following effects of your choice: 
**Object Creation**. You create one object of up to 25,000 GP in value that isn't a magic item. The object can be no more than 300 feet in any dimension, and it appears in an unoccupied space that you can see on the ground. 
**Instant Health**. You allow yourself and up to twenty creatures that you can see to regain all Hit Points, and you end all effects on them listed in the Greater Restoration spell. 
**Resistance**. You grant up to ten creatures that you can see Resistance to one damage type that you choose. This Resistance is permanent. 
**Spell Immunity**. You grant up to ten creatures you can see immunity to a single spell or other magical effect for 8 hours. 
**Sudden Learning**. You replace one of your feats with another feat for which you are eligible. You lose all the benefits of the old feat and gain the benefits of the new one. You can't replace a feat that is a prerequisite for any of your other feats or features. 
**Roll Redo**. You undo a single recent event by forcing a reroll of any die roll made within the last round (including your last turn). Reality reshapes itself to accommodate the new result. For example, a Wish spell could undo an ally's failed saving throw or a foe's Critical Hit. You can force the reroll to be made with Advantage or Disadvantage, and you choose whether to use the reroll or the original roll. 
**Reshape Reality**. You may wish for something not included in any of the other effects. To do so, state your wish to the DM as precisely as possible. The DM has great latitude in ruling what occurs in such an instance; the greater the wish, the greater the likelihood that something goes wrong. This spell might simply fail, the effect you desire might be achieved only in part, or you might suffer an unforeseen consequence as a result of how you worded the wish. For example, wishing that a villain were dead might propel you forward in time to a period when that villain is no longer alive, effectively removing you from the game. Similarly, wishing for a Legendary magic item or an Artifact might instantly transport you to the presence of the item's current owner. If your wish is granted and its effects have consequences for a whole community, region, or world, you are likely to attract powerful foes. If your wish would affect a god, the god's divine servants might instantly intervene to prevent it or to encourage you to craft the wish in a particular way. If your wish would undo the multiverse itself, threaten the City of Sigil, or affect the Lady of Pain in any way, you see an image of her in your mind for a moment; she shakes her head, and your wish fails. The stress of casting Wish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score becomes 3 for 2d4 days. For each of those days that you spend resting and doing nothing more than light activity, your remaining recovery time decreases by 2 days. Finally, there is a 33 percent chance that you are unable to cast Wish ever again if you suffer this stress_x000D_
</t>
  </si>
  <si>
    <t>Witch Bolt.md</t>
  </si>
  <si>
    <t xml:space="preserve">level 1 - #evocation Casting Time: Action Range: 60 feet Components: V, S, M (a twig struck by lightning) Duration: #Concentration, up to 1 minute 
A beam of crackling energy lances toward a creature within range, forming a sustained arc of lightning between you and the target. Make a ranged spell attack against it. On a hit, the target takes 2d12 Lightning damage. 
On each of your subsequent turns, you can take a Bonus Action to deal 1d12 Lightning damage to the target automatically, even if the first attack missed. The spell ends if the target is ever outside the spell's range or if it has Total Cover from you. 
Using a Higher-Level Spell Slot. The initial damage increases by 1d12 for each spell slot level above 1_x000D_
</t>
  </si>
  <si>
    <t>Word of Radiance.md</t>
  </si>
  <si>
    <t xml:space="preserve">level 0 - #evocation Casting Time: Action Range: Self Components: V, M (a sunburst token) Duration: Instantaneous 
Burning radiance erupts from you in a 5-foot Emanation. Each creature of your choice that you can see in it must succeed on a Constitution saving throw or take 1d6 Radiant damage. 
Cantrip Upgrade. The damage increases by 1d6 when you reach levels 5 (2d6), 11 (3d6), and 17 (4d6)._x000D_
</t>
  </si>
  <si>
    <t>Word of Recall.md</t>
  </si>
  <si>
    <t xml:space="preserve">level 6 - #conjuration Casting Time: Action Range: 5 feet Components: V Duration: Instantaneous 
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location, such as a temple, as a sanctuary by casting this spell there_x000D_
</t>
  </si>
  <si>
    <t>Wrathful Smite.md</t>
  </si>
  <si>
    <t xml:space="preserve">level 1 - #necromancy Casting Time: #BonusAction, which you take immediately after hitting a creature with a Melee weapon or an Unarmed Strike Range: Self Components: V Duration: 1 minute 
The target takes an extra 1d6 Necrotic damage from the attack, and it must succeed on a Wisdom saving throw or have the Frightened condition until the spell ends. At the end of each of its turns, the Frightened target repeats the save, ending the spell on itself on a success. 
Using a Higher-Level Spell Slot. The damage increases by 1d6 for each spell slot level above 1_x000D_
</t>
  </si>
  <si>
    <t>Yolande's Regal Presence.md</t>
  </si>
  <si>
    <t xml:space="preserve">level 5 - #enchantment Casting Time: Action Range: Self Components: V, S, M (a miniature tiara) Duration: #Concentration, up to 1 minute 
Description not available (not OGL)_x000D_
</t>
  </si>
  <si>
    <t>Zone of Truth.md</t>
  </si>
  <si>
    <t xml:space="preserve">level 2 - #enchantment Casting Time: Action Range: 60 feet Components: V, S Duration: 10 minutes 
You create a magical zone that guards against deception in a 15- foot-radius Sphere centered on a point within range. Until the spell ends, a creature that enters the spell's area for the first time on a turn or starts its turn there makes a Charisma saving throw. On a failed save, a creature can't speak a deliberate lie while in the radius. You know whether a creature succeeds or fails on this save. An affected creature is aware of the spell and can avoid answering questions to which it would normally respond with a lie. Such a creature can be evasive yet must be truthful_x000D_
</t>
  </si>
  <si>
    <t xml:space="preserve">level 2 - #abjuration Casting Time: Action Range: Touch Components: V, S, M (gold dust worth 25+ GP, which the spell consumes) Duration: Until dispelled 
You touch a closed door, window, gate, container, or hatch and magically lock it for the duration. This lock can't be unlocked by any nonmagical means. You and any creatures you designate when you cast the spell can open and close the object despite the lock. You can also set a password that, when spoken within 5 feet of the object, unlocks it for 1 minute_x000D_
</t>
  </si>
  <si>
    <t xml:space="preserve">level 4 - #necromancy Casting Time: Action Range: 30 feet Components: V, S Duration: Instantaneous 
A creature that you can see within range makes a Constitution saving throw, taking 8d8 Necrotic damage on a failed save or half as much damage on a successful one. A Plant creature automatically fails the save. 
Alternatively, target a nonmagical plant that isn't a creature, such as a tree or shrub. It doesn't make a save; it simply withers and dies. 
Using a Higher-Level Spell Slot. The damage increases by 1d8 for each spell slot level above 4_x000D_
</t>
  </si>
  <si>
    <t xml:space="preserve">level 2 - #transmutation Casting Time: Action Range: 120 feet Components: V Duration: 1 minute 
One creature that you can see within range must succeed on a Constitution saving throw, or it has the Blinded or Deafened condition (your choice) for the duration. At the end of each of its turns, the target repeats the save, ending the spell on itself on a success. 
Using a Higher-Level Spell Slot. You can target one additional creature for each spell slot level above 2_x000D_
</t>
  </si>
  <si>
    <t xml:space="preserve">level 3 - #transmutation Casting Time: Action Range: Self Components: V, S Duration: 1 minute 
Roll 1d6 at the end of each of your turns for the duration. On a roll of 4â€“6, you vanish from your current plane of existence and appear in the Ethereal Plane (the spell ends instantly if you are already on that plane). While on the Ethereal Plane, you can perceive the plane you left, which is cast in shades of gray, but you can't see anything there more than 60 feet away. You can affect and be affected only by other creatures on the Ethereal Plane, and creatures on the other plane can't perceive you unless they have a special ability that lets them perceive things on the Ethereal Plane. You return to the other plane at the start of your next turn and when the spell ends if you are on the Ethereal Plane. You return to an unoccupied space of your choice that you can see within 10 feet of the space you left. If no unoccupied space is available within that range, you appear in the nearest unoccupied space_x000D_
</t>
  </si>
  <si>
    <t xml:space="preserve">level 1 - #evocation Casting Time: Action Range: Self Components: V, S Duration: Instantaneous 
A thin sheet of flames shoots forth from you. Each creature in a 15- #foot Cone makes a Dexterity saving throw, taking 3d6 Fire damage on a failed save or half as much damage on a successful one. Flammable objects in the Cone that aren't being worn or carried start burning. 
Using a Higher-Level Spell Slot. The damage increases by 1d6 for each spell slot level above 1_x000D_
</t>
  </si>
  <si>
    <t xml:space="preserve">level 6 - #evocation Casting Time: Action Range: 150 feet Components: V, S, M (three silver pins) Duration: Instantaneous 
You launch a lightning bolt toward a target you can see within range. Three bolts then leap from that target to as many as three other targets of your choice, each of which must be within 30 feet of the first target. A target can be a creature or an object and can be targeted by only one of the bolts. Each target makes a Dexterity saving throw, taking 10d8 Lightning damage on a failed save or half as much damage on a successful one. 
Using a Higher-Level Spell Slot. One additional bolt leaps from the first target to another target for each spell slot level above 6._x000D_
</t>
  </si>
  <si>
    <t xml:space="preserve">level 4 - #enchantment Casting Time: Action Range: 30 feet Components: V, S Duration: 1 hour 
One creature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4._x000D_
</t>
  </si>
  <si>
    <t xml:space="preserve">level 1 - #enchantment Casting Time: Action Range: 30 feet Components: V, S Duration: 1 hour 
One Humanoid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1._x000D_
</t>
  </si>
  <si>
    <t xml:space="preserve">level 1 - #evocation Casting Time: Action Range: 90 feet Components: V, S, M (a diamond worth 50+ GP) Duration: Instantaneous 
You hurl an orb of energy at a target within range. Choose Acid, Cold, Fire, Lightning, Poison, or Thunder for the type of orb you create, and then make a ranged spell attack against the target. On a hit, the target takes 3d8 damage of the chosen type. If you roll the same number on two or more of the d8s, the orb leaps to a different target of your choice within 30 feet of the target. Make an attack roll against the new target, and make a new damage roll. The orb can't leap again unless you cast the spell with a level 2+ spell slot. 
Using a Higher-Level Spell Slot. The damage increases by 1d8 for each spell slot level above 1. The orb can leap a maximum number of times equal to the level of the slot expended, and a creature can be targeted only once by each casting of this spell._x000D_
</t>
  </si>
  <si>
    <t xml:space="preserve">level 6 - #necromancy Casting Time: Action Range: 150 feet Components: V, S, M (the powder of a crushed black pearl worth 500+ GP) Duration: Instantaneous 
Negative energy ripples out in a 60-foot-radius Sphere from a point you choose within range. Each creature in that area makes a Constitution saving throw, taking 8d8 Necrotic damage on a failed save or half as much damage on a successful one. 
Using a Higher-Level Spell Slot. The damage increases by 2d8 for each spell slot level above 6._x000D_
</t>
  </si>
  <si>
    <t xml:space="preserve">level 8 - #necromancy Casting Time: 1 hour Range: Touch Components: V, S, M (a diamond worth 1,000+ GP, which the spell consumes, and a vessel worth 2,000+ GP that is large enough to hold the creature being cloned) Duration: Instantaneous 
You touch a creature or at least 1 cubic inch of its flesh. An inert duplicate of that creature forms inside the vessel used in the spell's casting and finishes growing after 120 days; you choose whether the finished clone is the same age as the creature or younger. The clone remains inert and endures indefinitely while its vessel remains undisturbed. 
If the original creature dies after the clone finishes forming, the creature's soul transfers to the clone if the soul is free and willing to return. The clone is physically identical to the original and has the same personality, memories, and abilities, but none of the original's equipment. The creature's original remains, if any, become inert and can't be revived, since the creature's soul is elsewhere._x000D_
</t>
  </si>
  <si>
    <t xml:space="preserve">level 5 - #evocation Casting Time: Action Range: Self Components: V, S, M (a small crystal or glass cone) Duration: Instantaneous 
You unleash a blast of cold air. Each creature in a 60-foot Cone originating from you makes a Constitution saving throw, taking 8d8 Cold damage on a failed save or half as much damage on a successful one. A creature killed by this spell becomes a frozen statue until it thaws. 
Using a Higher-Level Spell Slot. The damage increases by 1d8 for each spell slot level above 5_x000D_
</t>
  </si>
  <si>
    <t xml:space="preserve">level 3 - #conjuration Casting Time: Action Range: Self Components: V, S, M (a Melee or Ranged weapon worth at least 1 CP) Duration: Instantaneous 
You brandish the weapon used to cast the spell and conjure similar spectral weapons (or ammunition appropriate to the weapon) that launch forward and then disappear. Each creature of your choice that you can see in a 60-foot Cone makes a Dexterity saving throw, taking 5d8 Force damage on a failed save or half as much damage on a successful one. 
Using a Higher-Level Spell Slot. The damage increases by 1d8 for each spell slot level above 3._x000D_
</t>
  </si>
  <si>
    <t xml:space="preserve">level 5 - #conjuration Casting Time: Action Range: 150 feet Components: V, S, M (a Melee or Ranged weapon worth at least 1 CP) Duration: Instantaneous 
You brandish the weapon used to cast the spell and choose a point within range. Hundreds of similar spectral weapons (or ammunition appropriate to the weapon) fall in a volley and then disappear. Each creature of your choice that you can see in a 40-foot-radius, 20-foot-high Cylinder centered on that point makes a Dexterity saving throw. A creature takes 8d8 Force damage on a failed save or half as much damage on a successful one._x000D_
</t>
  </si>
  <si>
    <t xml:space="preserve">level 5 - #necromancy Casting Time: Action Range: Touch Components: V, S Duration: 7 days
Your touch inflicts a magical contagion. The target must succeed on a Constitution saving throw or take 11d8 Necrotic damage and have the Poisoned condition. Also, choose one ability when you cast the spell. While Poisoned, the target has Disadvantage on saving throws made with the chosen ability. The target must repeat the saving throw at the end of each of its turns until it gets three successes or failures. If the target succeeds on three of these saves, the spell ends on the target. If the target fails three of the saves, the spell lasts for 7 days on it. Whenever the Poisoned target receives an effect that would end the Poisoned condition, the target must succeed on a Constitution saving throw, or the Poisoned condition doesn't end on it_x000D_
</t>
  </si>
  <si>
    <t xml:space="preserve">level 2 - #evocation Casting Time: Action Range: Touch Components: V, S, M (ruby dust worth 50+ GP, which the spell consumes) Duration: Until dispelled 
A flame springs from an object that you touch. The effect casts Bright Light in a 20-foot radius and Dim Light for an additional 20 feet. It looks like a regular flame, but it creates no heat and consumes no fuel. The flame can be covered or hidden but not smothered or quenched._x000D_
</t>
  </si>
  <si>
    <t xml:space="preserve">level 2 - #transmutation Casting Time: Action Range: Touch Components: V, S, M (an ornamental braid) Duration: 8 hours 
You touch up to four nonmagical Arrows or Bolts and plant them in the ground in your space. Until the spell ends, the ammunition can't be physically uprooted, and whenever a creature other than you enters a space within 30 feet of the ammunition for the first time on a turn or ends its turn there, one piece of ammunition flies up to strike it. The creature must succeed on a Dexterity saving throw or take 2d4 Piercing damage. The piece of ammunition is then destroyed. The spell ends when none of the ammunition remains planted in the ground. When you cast this spell, you can designate any creatures you choose, and the spell ignores them. 
**Using a Higher-Level Spell Slot.** The amount of ammunition that can be affected increases by two for each spell slot level above 2._x000D_
</t>
  </si>
  <si>
    <t xml:space="preserve">level 3 - #conjuration Casting Time: Action Range: 30 feet Components: V, S Duration: Instantaneous 
You create 45 pounds of food and 30 gallons of fresh water on the ground or in containers within rangeâ€”both useful in fending off the hazards of malnutrition and dehydration. The food is bland but nourishing and looks like a food of your choice, and the water is clean. The food spoils after 24 hours if uneaten._x000D_
</t>
  </si>
  <si>
    <t xml:space="preserve">level 2 - #transmutation Casting Time: Action Range: Touch Components: V, S, M (a dried carrot) Duration: 8 hours 
For the duration, a willing creature you touch has Darkvision with a range of 150 feet_x000D_
</t>
  </si>
  <si>
    <t xml:space="preserve">level 3 - #evocation Casting Time: Action Range: 60 feet Components: V, S Duration: 1 hour 
For the duration, sunlight spreads from a point within range and fills a 60-foot-radius Sphere. The sunlight's area is Bright Light and sheds Dim Light for an additional 60 feet. 
Alternatively, you cast the spell on an object that isn't being worn or carried, causing the sunlight to fill a 60-foot Emanation originating from that object. Covering that object with something opaque, such as a bowl or helm, blocks the sunlight. 
If any of this spell's area overlaps with an area of Darkness created by a spell of level 3 or lower, that other spell is dispelled_x000D_
</t>
  </si>
  <si>
    <t xml:space="preserve">level 4 - #abjuration Casting Time: Action Range: Touch Components: V, S Duration: 8 hours 
You touch a creature and grant it a measure of protection from death. The first time the target would drop to 0 Hit Points before the spell ends, the target instead drops to 1 Hit Point, and the spell ends. 
If the spell is still in effect when the target is subjected to an effect that would kill it instantly without dealing damage, that effect is negated against the target, and the spell ends._x000D_
</t>
  </si>
  <si>
    <t xml:space="preserve">level 5 - #illusion Casting Time: 1 minute Range: Special Components: V, S, M (a handful of sand) Duration: 8 hours 
You target a creature you know on the same plane of existence. You or a willing creature you touch enters a trance state to act as a dream messenger. While in the trance, the messenger is Incapacitated and has a Speed of 0. 
If the target is asleep, the messenger appears in the target's dreams and can converse with the target as long as it remains asleep, through the spell's duration. The messenger can also shape the dream's environment, creating landscapes, objects, and other images. The messenger can emerge from the trance at any time, ending the spell. The target recalls the dream perfectly upon waking. 
If the target is awake when you cast the spell, the messenger knows it and can either end the trance (and the spell) or wait for the target to sleep, at which point the messenger enters its dreams. You can make the messenger terrifying to the target. If you do so, the messenger can deliver a message of no more than ten words, and then the target makes a Wisdom saving throw. On a failed save, the target gains no benefit from its rest, and it takes 3d6 Psychic damage when it wakes up._x000D_
</t>
  </si>
  <si>
    <t xml:space="preserve">level 4 - #evocation Casting Time: Action Range: Self Components: V, S, M (a bit of phosphorus or a firefly) Duration: 10 minutes 
Wispy flames wreathe your body for the duration, shedding Bright Light in a 10-foot radius and Dim Light for an additional 10 feet. The flames provide you with a warm shield or a chill shield, as you choose. The warm shield grants you Resistance to Cold damage, and the chill shield grants you Resistance to Fire damage. 
In addition, whenever a creature within 5 feet of you hits you with a melee attack roll, the shield erupts with flame. The attacker takes 2d8 Fire damage from a warm shield or 2d8 Cold damage from a chill shield._x000D_
</t>
  </si>
  <si>
    <t xml:space="preserve">level 3 - #transmutation Casting Time: Action Range: Touch Components: V, S, M (a feather) Duration: #Concentration, up to 10 minutes 
You touch a willing creature. For the duration, the target gains a Fly Speed of 60 feet and can hover. When the spell ends, the target falls if it is still aloft unless it can stop the fall. 
Using a Higher-Level Spell Slot. You can target one additional creature for each spell slot level above 3_x000D_
</t>
  </si>
  <si>
    <t xml:space="preserve">level 1 - #conjuration Casting Time: Action Range: Self Components: V, S, M (a sprig of mistletoe) Duration: 24 hours 
Ten berries appear in your hand and are infused with magic for the duration. A creature can take a Bonus Action to eat one berry. Eating a berry restores 1 Hit Point, and the berry provides enough nourishment to sustain a creature for one day. 
Uneaten berries disappear when the spell ends._x000D_
</t>
  </si>
  <si>
    <t xml:space="preserve">level 1 - #necromancy Casting Time: Action Range: Touch Components: V, S Duration: Instantaneous 
A creature you touch makes a Constitution saving throw, taking 2d10 Necrotic damage on a failed save or half as much damage on a successful one. 
Using a Higher-Level Spell Slot. The damage increases by 1d10 for each spell slot level above 1._x000D_
</t>
  </si>
  <si>
    <t xml:space="preserve">level 2 - #transmutation Casting Time: Action Range: 60 feet Components: V Duration: Instantaneous 
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the target is held shut by Arcane Lock, that spell is suppressed for 10 minutes, during which time the target can be opened and closed. 
When you cast the spell, a loud knock, audible up to 300 feet away, emanates from the target._x000D_
</t>
  </si>
  <si>
    <t xml:space="preserve">level 5 - #abjuration Casting Time: Action Range: 60 feet Components: V, S Duration: Instantaneous 
A wave of healing energy washes out from a point you can see within range. Choose up to six creatures in a 30-foot-radius Sphere centered on that point. Each target regains Hit Points equal to 5d8 plus your spellcasting ability modifier. 
Using a Higher-Level Spell Slot. The healing increases by 1d8 for each spell slot level above 5_x000D_
</t>
  </si>
  <si>
    <t xml:space="preserve">level 0 - #evocation Casting Time: Action Range: Touch Components: V, S Duration: Instantaneous 
Lightning springs from you to a creature that you try to touch. Make a melee spell attack against the target. On a hit, the target takes 1d8 Lightning damage, and it can't make Opportunity Attacks until the start of its next turn. 
Cantrip Upgrade. The damage increases by 1d8 when you reach levels 5 (2d8), 11 (3d8), and 17 (4d8)_x000D_
</t>
  </si>
  <si>
    <t xml:space="preserve">level 5 - #divination ( #ritual ) Casting Time: 1 minute or Ritual Range: Self Components: V, S Duration: Instantaneous 
You commune with nature spirits and gain knowledge of the surrounding area. In the outdoors, the spell gives you knowledge of the area within 3 miles of you. In caves and other natural underground settings, the radius is limited to 300 feet. The spell doesn't function where nature has been replaced by construction, such as in castles and settlements. 
Choose three of the following facts; you learn those facts as they pertain to the spell's area: 
â€¢ Locations of settlements 
â€¢ Locations of portals to other planes of existence 
â€¢ Location of one Challenge Rating 10+ creature (DM's choice) that is a Celestial, an Elemental, a Fey, a Fiend, or an Undead 
â€¢ The most prevalent kind of plant, mineral, or Beast (you choose which to learn) 
â€¢ Locations of bodies of water 
For example, you could determine the location of a powerful monster in the area, the locations of bodies of water, and the locations of any towns._x000D_
</t>
  </si>
  <si>
    <t xml:space="preserve">level 5 - #divination ( #ritual ) Casting Time: 1 minute or Ritual Range: Self Components: V, S, M (incense) Duration: 1 minute 
You contact a deity or a divine proxy and ask up to three questions that can be answered with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more than once before finishing a Long Rest, there is a cumulative 25 percent chance for each casting after the first that you get no answer._x000D_
</t>
  </si>
  <si>
    <t xml:space="preserve">level 1 - #divination ( #ritual ) Casting Time: Action or Ritual Range: Self Components: V, S, M (a pinch of soot and salt) Duration: 1 hour 
For the duration, you understand the literal meaning of any language that you hear or see signed. You also understand any written language that you see, but you must be touching the surface on which the words are written. It takes about 1 minute to read one page of text. This spell doesn't decode symbols or secret messages._x000D_
</t>
  </si>
  <si>
    <t xml:space="preserve">level 5 - #divination ( #ritual ) Casting Time: 1 minute or Ritual Range: Self Components: V Duration: 1 minute 
You mentally contact a demigod, the spirit of a long-dead sage, or some other knowledgeable entity from another plane. Contacting this otherworldly intelligence can break your mind. When you cast this spell, make a DC 15 Intelligence saving throw. On a successful save, you can ask the entity up to five questions. You must ask your questions before the spell ends. The DM answers each question with one word, such as "yes," "no," "maybe," "never," "irrelevant," or "unclear" (if the entity doesn't know the answer to the question). If a one-word answer would be misleading, the DM might instead offer a short phrase as an answer. On a failed save, you take 6d6 Psychic damage and have the Incapacitated condition until you finish a Long Rest. A Greater Restoration spell cast on you ends this effect._x000D_
</t>
  </si>
  <si>
    <t xml:space="preserve">level 4 - #divination ( #ritual ) Casting Time: Action or Ritual Range: Self Components: V, S, M (incense worth 25+ GP, which the spell consumes) Duration: Instantaneous 
This spell puts you in contact with a god or a god's servants. You ask one question about a specific goal, event, or activity to occur within 7 days. The DM offers a truthful reply, which might be a short phrase or cryptic rhyme. The spell doesn't account for circumstances that might change the answer, such as the casting of other spells.
If you cast the spell more than once before finishing a Long Rest, there is a cumulative 25 percent chance for each casting after the first that you get no answer_x000D_
</t>
  </si>
  <si>
    <t xml:space="preserve">level 3 - #necromancy ( #ritual ) Casting Time: Action or Ritual Range: Touch Components: V, S, M (a pinch of graveyard dirt) Duration: 1 hour 
You touch a willing creature and put it into a cataleptic state that is indistinguishable from death. 
For the duration, the target appears dead to outward inspection and to spells used to determine the target's status. The target has the Blinded and Incapacitated conditions, and its Speed is 0. 
The target also has Resistance to all damage except Psychic damage, and it has Immunity to the Poisoned condition_x000D_
</t>
  </si>
  <si>
    <t xml:space="preserve">level 2 - #necromancy ( #ritual ) Casting Time: Action or Ritual Range: Touch Components: V, S, M (2 copper pieces, which the spell consume) Duration: 10 days 
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Dead_x000D_
</t>
  </si>
  <si>
    <t xml:space="preserve">level 3 - #evocation ( #ritual ) Casting Time: 1 minute or Ritual Range: Self Components: V, S, M (a crystal bead) Duration: 8 hours 
A 10-foot Emanation springs into existence around you and remains stationary for the duration. The spell fails when you cast it if the Emanation isn't big enough to fully encapsulate all creatures in its area. 
Creatures and objects within the Emanation when you cast the spell can move through it freely. All other creatures and objects are barred from passing through it. Spells of level 3 or lower can't be cast through it, and the effects of such spells can't extend into it. The atmosphere inside the Emanation is comfortable and dry, regardless of the weather outside. Until the spell ends, you can command the interior to have Dim Light or Darkness (no action required). The Emanation is opaque from the outside and of any color you choose, but it's transparent from the inside. 
The spell ends early if you leave the Emanation or if you cast it again_x000D_
</t>
  </si>
  <si>
    <t xml:space="preserve">level 2 - #illusion ( #ritual ) Casting Time: 1 minute or Ritual Range: 30 feet Components: V, S, M (jade dust worth 10+ GP, which the spell consumes) Duration: Until dispelled 
You implant a message within an object in rangeâ€”a message that is uttered when a trigger condition is met. Choose an object that you can see and that isn't being worn or carried by another creature. Then speak the message, which must be 25 words or fewer, though it can be delivered over as long as 10 minutes. Finally, determine the circumstance that will trigger the spell to deliver your message. When that trigger occurs, a magical mouth appears on the object and recites the message in your voice and at the same volume you spoke. If the object you chose has a mouth or something that looks like a mouth (for example, the mouth of a statue), the magical mouth appears there, so the words appear to come from the object's mouth. When you cast this spell, you can have the spell end after it delivers its message, or it can remain and repeat its message whenever the trigger occurs. 
The trigger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it._x000D_
</t>
  </si>
  <si>
    <t xml:space="preserve">level 3 - #transmutation ( #ritual ) Casting Time: Action or #Ritual Range: Touch Components: V, S Duration: 8 hours 
You step into a stone object or surface large enough to fully contain your body, merging yourself and your equipment with the stone for the duration. You must touch the stone to do so.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5 feet of movement to leave the stone where you entered it, which ends the spell. You otherwise can't move. 
Minor physical damage to the stone doesn't harm you, but its partial destruction or a change in its shape (to the extent that you no longer fit within it) expels you and deals 6d6 Force damage to you. The stone's complete destruction (or transmutation into a different substance) expels you and deals 50 Force damage to you. If expelled, you move into an unoccupied space closest to where you first entered and have the Prone condition._x000D_
</t>
  </si>
  <si>
    <t xml:space="preserve">level 3 - #illusion ( #ritual ) Casting Time: 1 minute or Ritual Range: 30 feet Components: V, S Duration: 1 hour 
A Large, quasi-real, horselike creature appears on the ground in an unoccupied space of your choice within range. You decide the creature's appearance, and it is equipped with a saddle, bit, and bridle. Any of the equipment created by the spell vanishes in a puff of smoke if it is carried more than 10 feet away from the steed. 
For the duration, you or a creature you choose can ride the steed. The steed uses the **Riding Horse** stat block, except it has a Speed of 100 feet and can travel 13 miles in an hour. When the spell ends, the steed gradually fades, giving the rider 1 minute to dismount. The spell ends early if the steed takes any damage_x000D_
</t>
  </si>
  <si>
    <t xml:space="preserve">level 1 - #transmutation ( #ritual ) Casting Time: Action or Ritual Range: 10 feet Components: V, S Duration: Instantaneous 
You remove poison and rot from nonmagical food and drink in a 5- foot-radius Sphere centered on a point within range_x000D_
</t>
  </si>
  <si>
    <t xml:space="preserve">level 5 - #divination ( #ritual ) Casting Time: Action or Ritual Range: 30 feet Components: V, S, M (two eggs) Duration: 1 hour 
Description not available (not OGL)_x000D_
</t>
  </si>
  <si>
    <t xml:space="preserve">level 1 - #divination ( #ritual ) Casting Time: Action or Ritual Range: Self Components: V, S Duration: 10 minutes 
For the duration, you can comprehend and verbally communicate with Beasts, and you can use any of the Influence action's skill options with them. 
Most Beasts have little to say about topics that don't pertain to survival or companionship, but at minimum, a Beast can give you information about nearby locations and monsters, including whatever it has perceived within the past day._x000D_
</t>
  </si>
  <si>
    <t xml:space="preserve">level 1 - #conjuration ( #ritual ) Casting Time: Action or Ritual Range: 60 feet Components: V, S, M (a bit of string and of wood) Duration: 1 hour 
This spell creates an Invisible, mindless, shapeless, Medium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could do, such as fetching things, cleaning, mending, folding clothes, lighting fires, serving food, and pouring drinks. Once you give the command, the servant performs the task to the best of its ability until it completes the task, then waits for your next command. 
If you command the servant to perform a task that would move it more than 60 feet away from you, the spell ends_x000D_
</t>
  </si>
  <si>
    <t xml:space="preserve">level 3 - #necromancy Casting Time: Action Range: Touch Components: V, S Duration: #Concentration, up to 1 minute 
You touch a creature, which must succeed on a Wisdom saving throw or become cursed for the duration. Until the curse ends, the target suffers one of the following effects of your choice: 
â€¢ Choose one ability. The target has Disadvantage on ability checks and saving throws made with that ability. â€¢ The target has Disadvantage on attack rolls against you. 
â€¢ In combat, the target must succeed on a Wisdom saving throw at the start of each of its turns or be forced to take the Dodge action on that turn. 
â€¢ If you deal damage to the target with an attack roll or a spell, the target takes an extra 1d8 Necrotic damage. 
Using a Higher-Level Spell Slot. If you cast this spell using a level 4 spell slot, you can maintain #Concentration on it for up to 10 minutes. If you use a level 5+ spell slot, the spell doesn't require #Concentration, and the duration becomes 8 hours (level 5-6 slot) or 24 hours (level 7-8 slot). If you use a level 9 spell slot, the spell lasts until dispelled_x000D_
</t>
  </si>
  <si>
    <t xml:space="preserve">level 5 - #evocation Casting Time: Action Range: 120 feet Components: V, S, M (an eggshell and a glove) Duration: #Concentration, up to 1 minute 
You create a Large hand of shimmering magical energy in an unoccupied space that you can see within range. The hand lasts for the duration, and it moves at your command, mimicking the movements of your own hand. The hand is an object that has AC 20 and Hit Points equal to your Hit Point maximum. If it drops to 0 Hit Points, the spell ends. The hand doesn't occupy its space. When you cast the spell and as a Bonus Action on your later turns, you can move the hand up to 60 feet and then cause one of the following effects: 
**Clenched Fist.** The hand strikes a target within 5 feet of it. Make a melee spell attack. On a hit, the target takes 5d8 Force damage. Forceful Hand. The hand attempts to push a Huge or smaller creature within 5 feet of it. The target must succeed on a Strength saving throw, or the hand pushes the target up to 5 feet plus a number of feet equal to five times your spellcasting ability modifier. The hand moves with the target, remaining within 5 feet of it. 
**Grasping Hand.** The hand attempts to grapple a Huge or smaller creature within 5 feet of it. The target must succeed on a Dexterity saving throw, or the target has the Grappled condition, with an escape DC equal to your spell save DC. While the hand grapples the target, you can take a Bonus Action to cause the hand to crush it, dealing Bludgeoning damage to the target equal to 4d6 plus your spellcasting ability modifier. 
**Interposing Hand.** The hand grants you Half Cover against attacks and other effects that originate from its space or that pass through it. In addition, its space counts as Difficult Terrain for your enemies. 
Using a Higher-Level Spell Slot. The damage of the Clenched Fist increases by 2d8 and the damage of the Grasping Hand increases by 2d6 for each spell slot level above 5_x000D_
</t>
  </si>
  <si>
    <t xml:space="preserve">level 6 - #evocation Casting Time: Action Range: 90 feet Components: V, S Duration: #Concentration, up to 10 minutes 
You create a wall of whirling blades made of magical energy. The wall appears within range and lasts for the duration. You make a straight wall up to 100 feet long, 20 feet high, and 5 feet thick, or a ringed wall up to 60 feet in diameter, 20 feet high, and 5 feet thick. The wall provides Three-Quarters Cover, and its space is Difficult Terrain. Any creature in the wall's space makes a Dexterity saving throw, taking 6d10 Force damage on a failed save or half as much damage on a successful one. A creature also makes that save if it enters the wall's space or ends it turn there. A creature makes that save only once per turn_x000D_
</t>
  </si>
  <si>
    <t xml:space="preserve">level 0 - #abjuration Casting Time: Action Range: Self Components: V, S Duration: #Concentration, up to 1 minute 
Whenever a creature makes an attack roll against you before the spell ends, the attacker subtracts 1d4 from the attack roll_x000D_
</t>
  </si>
  <si>
    <t xml:space="preserve">level 1 - #enchantment Casting Time: Action Range: 30 feet Components: V, S, M (a Holy Symbol, worth 5+ GP) Duration: #Concentration, up to 1 minute 
You bless up to three creatures within range. Whenever a target makes an attack roll or a saving throw before the spell ends, the target adds 1d4 to the attack roll or save. 
Using a Higher-Level Spell Slot. You can target one additional creature for each spell slot level above 1_x000D_
</t>
  </si>
  <si>
    <t xml:space="preserve">level 2 - #illusion Casting Time: Action Range: Self Components: V Duration: #Concentration, up to 1 minute 
Your body becomes blurred. For the duration, any creature has Disadvantage on attack rolls against you. An attacker is immune to this effect if it perceives you with Blindsight or Truesight._x000D_
</t>
  </si>
  <si>
    <t xml:space="preserve">level 3 - #conjuration Casting Time: Action Range: 120 feet Components: V, S Duration: #Concentration, up to 10 minutes 
A storm cloud appears at a point within range that you can see above yourself. It takes the shape of a Cylinder that is 10 feet tall with a 60-foot radius. 
When you cast the spell, choose a point you can see under the cloud. A lightning bolt shoots from the cloud to that point. Each creature within 5 feet of that point makes a Dexterity saving throw, taking 3d10 Lightning damage on a failed save or half as much damage on a successful one. 
Until the spell ends, you can take a Magic action to call down lightning in that way again, targeting the same point or a different one. If you're outdoors in a storm when you cast this spell, the spell gives you control over that storm instead of creating a new one. Under such conditions, the spell's damage increases by 1d10. 
Using a Higher-Level Spell Slot. The damage increases by 1d10 for each spell slot level above 3_x000D_
</t>
  </si>
  <si>
    <t xml:space="preserve">level 2 - #enchantment Casting Time: Action Range: 60 feet Components: V, S Duration: #Concentration, up to 1 minute
Each Humanoid in a 20-foot-radius Sphere centered on a point you choose within range must succeed on a Charisma saving throw or be affected by one of the following effects (choose for each creature): 
â€¢ The creature has Immunity to the Charmed and Frightened conditions until the spell ends. If the creature was already Charmed or Frightened, those conditions are suppressed for the duration. 
â€¢ The creature becomes Indifferent about creatures of your choice that it's Hostile toward. This indifference ends if the target takes damage or witnesses its allies taking damage. When the spell ends, the creature's attitude returns to normal_x000D_
</t>
  </si>
  <si>
    <t xml:space="preserve">level 5 - #abjuration Casting Time: Action Range: Self Components: V Duration: #Concentration, up to 10 minutes Description 
not available (not OGL)_x000D_
</t>
  </si>
  <si>
    <t xml:space="preserve">level 3 - #divination Casting Time: 10 minutes Range: 1 mile Components: V, S, M (a focus worth 100+ GP, either a jeweled horn for hearing or a glass eye for seeing) Duration: #Concentration, up to 10 minutes 
You create an Invisible sensor within range in a location familiar to you (a place you have visited or seen before) or in an obvious location that is unfamiliar to you (such as behind a door, around a corner, or in a grove of trees). The intangible, invulnerable sensor remains in place for the duration. 
When you cast the spell, choose seeing or hearing. You can use the chosen sense through the sensor as if you were in its space. As a Bonus Action, you can switch between seeing and hearing. 
A creature that sees the sensor (such as a creature benefiting from See Invisibility or Truesight) sees a luminous orb about the size of your fist._x000D_
</t>
  </si>
  <si>
    <t xml:space="preserve">level 2 - #conjuration Casting Time: Action Range: 60 feet Components: V, S, M (a sliver of glass) Duration: #Concentration, up to 1 minute 
You conjure spinning daggers in a 5-foot Cube centered on a point within range. Each creature in that area takes 4d4 Slashing damage. A creature also takes this damage if it enters the Cube or ends its turn there or if the Cube moves into its space. A creature takes this damage only once per turn. On your later turns, you can take a Magic action to teleport the Cube up to 30 feet. 
Using a Higher-Level Spell Slot. The damage increases by 2d4 for each spell slot level above 2._x000D_
</t>
  </si>
  <si>
    <t xml:space="preserve">level 5 - #conjuration Casting Time: Action Range: 120 feet Components: V, S Duration: #Concentration, up to 10 minutes 
You create a 20-foot-radius Sphere of yellow-green fog centered on a point within range. The fog lasts for the duration or until strong wind (such as the one created by Gust of Wind) disperses it, ending the spell. Its area is Heavily Obscured. 
Each creature in the Sphere makes a Constitution saving throw, taking 5d8 Poison damage on a failed save or half as much damage on a successful one. A creature must also make this save when the Sphere moves into its space and when it enters the Sphere or ends its turn there. A creature makes this save only once per turn. 
The Sphere moves 10 feet away from you at the start of each of your turns. 
Using a Higher-Level Spell Slot. The damage increases by 1d8 for each spell slot level above 5_x000D_
</t>
  </si>
  <si>
    <t xml:space="preserve">level 4 - #enchantment Casting Time: Action Range: 30 feet Components: V, S Duration: #Concentration, up to 1 minute 
Each creature of your choice that you can see within range must succeed on a Wisdom saving throw or have the Charmed condition until the spell ends. 
For the duration, you can take a Bonus Action to designate a direction that is horizontal to you. Each Charmed target must use as much of its movement as possible to move in that direction on its next turn, taking the safest route. After moving in this way, a target repeats the save, ending the spell on itself on a success._x000D_
</t>
  </si>
  <si>
    <t xml:space="preserve">level 4 - #enchantment Casting Time: Action Range: 90 feet Components: V, S, M (three nut shells) Duration: #Concentration, up to 1 minute 
Each creature in a 10-foot-radius Sphere centered on a point you choose within range must succeed on a Wisdom saving throw, or that target can't take Bonus Actions or Reactions and must roll 1d10 at the start of each of its turns to determine its behavior for that turn, consulting the table below. 
| **1d10** | **Behavior for the Turn**                                                                                                                                                      |
| -------- | ------------------------------------------------------------------------------------------------------------------------------------------------------------------------------ |
| 1        | The target doesn't take an action, and it uses all its movement to move. Roll 1d4 for the direction: 1, north; 2, east; 3, south; or 4, west.                                  |
| 2-6      | The target doesn't move or take actions.                                                                                                                                       |
| 7-8      | The target doesn't move, and it takes the Attack action to make one melee attack against a random creature within reach. If none are within reach, the target takes no action. |
| 9-10     | The target chooses its behavior.                                                                                                                                               |
At the end of each of its turns, an affected target repeats the save, ending the spell on itself on a success. 
Using a Higher-Level Spell Slot. The Sphere's radius increases by 5 feet for each spell slot level above 4.
</t>
  </si>
  <si>
    <t xml:space="preserve">level 3 - #conjuration Casting Time: Action Range: 60 feet Components: V, S Duration: #Concentration, up to 10 minutes 
You conjure nature spirits that appear as a Large pack of spectral, intangible animals in an unoccupied space you can see within range. The pack lasts for the duration, and you choose the spirits' animal form, such as wolves, serpents, or birds. 
You have Advantage on Strength saving throws while you're within 5 feet of the pack, and when you move on your turn, you can also move the pack up to 30 feet to an unoccupied space you can see. Whenever the pack moves within 10 feet of a creature you can see and whenever a creature you can see enters a space within 10 feet of the pack or ends its turn there, you can force that creature to make a Dexterity saving throw. On a failed save, the creature takes 3d10 Slashing damage. A creature makes this save only once per turn. 
Using a Higher-Level Spell Slot. The damage increases by 1d10 for each spell slot level above 3._x000D_
</t>
  </si>
  <si>
    <t xml:space="preserve">level 7 - #conjuration Casting Time: Action Range: 90 feet Components: V, S Duration: #Concentration, up to 10 minutes 
You conjure a spirit from the Upper Planes, which manifests as a pillar of light in a 10-foot-radius, 40-foot-high Cylinder centered on a point within range. For each creature you can see in the Cylinder, choose which of these lights shines on it: 
**Healing Light.** The target regains Hit Points equal to 4d12 plus your spellcasting ability modifier. Searing Light. The target makes a Dexterity saving throw, taking 6d12 Radiant damage on a failed save or half as much damage on a successful one. 
Until the spell ends, Bright Light fills the Cylinder, and when you move on your turn, you can also move the Cylinder up to 30 feet. Whenever the Cylinder moves into the space of a creature you can see and whenever a creature you can see enters the Cylinder or ends its turn there, you can bathe it in one of the lights. A creature can be affected by this spell only once per turn. 
Using a Higher-Level Spell Slot. The healing and damage increase by 1d12 for each spell slot level above 7._x000D_
</t>
  </si>
  <si>
    <t xml:space="preserve">level 5 - #conjuration Casting Time: Action Range: 60 feet Components: V, S Duration: #Concentration, up to 10 minutes 
You conjure a Large, intangible spirit from the Elemental Planes that appears in an unoccupied space within range. Choose the spirit's element, which determines its damage type: air (Lightning), earth (Thunder), fire (Fire), or water (Cold). The spirit lasts for the duration. 
Whenever a creature you can see enters the spirit's space or starts its turn within 5 feet of the spirit, you can force that creature to make a Dexterity saving throw if the spirit has no creature Restrained. On failed save, the target takes 8d8 damage of the spirit's type, and the target has the Restrained condition until the spell ends. At the start of each of its turns, the Restrained target repeats the save. On a failed save, the target takes 4d8 damage of the spirit's type. On a successful save, the target isn't Restrained by the spirit. 
Using a Higher-Level Spell Slot. The damage increases by 2d8 for each spell slot level above 5._x000D_
</t>
  </si>
  <si>
    <t xml:space="preserve">level 6 - #conjuration Casting Time: Action Range: 60 feet Components: V, S Duration: #Concentration, up to 10 minutes 
You conjure a Medium spirit from the Feywild in an unoccupied space you can see within range. The spirit lasts for the duration, and it looks like a Fey creature of your choice. When the spirit appears, you can make one melee spell attack against a creature within 5 feet of it. On a hit, the target takes Psychic damage equal to 3d12 plus your spellcasting ability modifier, and the target has the Frightened condition until the start of your next turn, with both you and the spirit as the source of the fear. 
As a Bonus Action on your later turns, you can teleport the spirit to an unoccupied space you can see within 30 feet of the space it left and make the attack against a creature within 5 feet of it. 
Using a Higher-Level Spell Slot. The damage increases by 2d12 for each spell slot level above 6_x000D_
</t>
  </si>
  <si>
    <t xml:space="preserve">level 4 - #conjuration Casting Time: Action Range: Self Components: V, S Duration: #Concentration, up to 10 minutes 
You conjure spirits from the Elemental Planes that flit around you in a 15-foot Emanation for the duration. Until the spell ends, any attack you make deals an extra 2d8 damage when you hit a creature in the Emanation. This damage is Acid, Cold, Fire, or Lightning (your choice when you make the attack). In addition, the ground in the Emanation is Difficult Terrain for your enemies. 
Using a Higher-Level Spell Slot. The damage increases by 2d8 for each spell slot level above 4._x000D_
</t>
  </si>
  <si>
    <t xml:space="preserve">level 4 - #conjuration Casting Time: Action Range: Self Components: V, S Duration: #Concentration, up to 10 minutes 
You conjure nature spirits that flit around you in a 10-foot Emanation for the duration. Whenever the Emanation enters the space of a creature you can see and whenever a creature you can see enters the Emanation or ends its turn there, you can force that creature to make a Wisdom saving throw. The creature takes 5d8 Force damage on a failed save or half as much damage on a successful one. A creature makes this save only once per turn. In addition, you can take the Disengage action as a Bonus Action for the spell's duration. 
Using a Higher-Level Spell Slot. The damage increases by 1d8 for each spell slot level above 5_x000D_
</t>
  </si>
  <si>
    <t xml:space="preserve">level 4 - #transmutation Casting Time: Action Range: 300 feet Components: V, S, M (a mixture of water and dust) Duration: #Concentration, up to 10 minutes 
Until the spell ends, you control any water inside an area you choose that is a Cube up to 100 feet on a side, using one of the following effects. As a Magic action on your later turns, you can repeat the same effect or choose a different one. 
**Flood.** You cause the water level of all standing water in the area to rise by as much as 20 feet. If you choose an area in a large body of water, you instead create a 20-foot tall wave that travels from one side of the area to the other and then crashes.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part water in the area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The water continues to move in the direction you chose until the spell ends or you choose a different effect. 
**Whirlpool.** You cause a whirlpool to form in the center of the area, which must be at least 50 feet square and 25 feet deep. The whirlpool lasts until you choose a different effect or the spell ends. The whirlpool is 5 feet wide at the base, up to 50 feet wide at the top, and 25 feet tall. Any creature in the water and within 25 feet of the whirlpool is pulled 10 feet toward it. When a creature enters the whirlpool for the first time on a turn or ends its turn there, it makes a Strength saving throw. On a failed save, the creature takes 2d8 Bludgeoning damage. On a successful save, the creature takes half as much damage. A creature can swim away from the whirlpool only if it first takes an action to pull away and succeeds on a Strength (Athletics) check against your spell save DC._x000D_
</t>
  </si>
  <si>
    <t xml:space="preserve">level 8 - #transmutation Casting Time: 10 minutes Range: Self Components: V, S, M (burning incense) Duration: #Concentration, up to 8 hours 
You take control of the weather within 5 miles of you for the duration. You must be outdoors to cast this spell, and it ends early if you go indoors. When you cast the spell, you change the current weather conditions, which are determined by the DM. You can change precipitation, temperature, and wind. It takes 1d4 Ã—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Condition 
1 Clear 
2 Light clouds 
3 Overcast or ground fog 
4 Rain, hail, or snow 
5 Torrential rain, driving hail, or blizzard 
**Temperature** 
Stage Condition 
1 Heat wave 
2 Hot 
3 Warm 
4 Cool 
5 Cold 
6 Freezing 
**Wind** 
Stage Condition 
1 Calm 
2 Moderate wind 
3 Strong wind 
4 Gale 
5 Storm_x000D_
</t>
  </si>
  <si>
    <t xml:space="preserve">level 3 - #evocation Casting Time: Action Range: Self Components: V Duration: #Concentration, up to 1 minute 
You radiate a magical aura in a 30-foot Emanation. While in the aura, you and your allies each deal an extra 1d4 Radiant damage when hitting with a weapon or an Unarmed Strike_x000D_
</t>
  </si>
  <si>
    <t xml:space="preserve">level 1 - #divination Casting Time: Action Range: Self Components: V, S Duration: #Concentration, up to 10 minutes 
For the duration, you sense the location of any Aberration, Celestial, Elemental, Fey, Fiend, or Undead within 30 feet of yourself. You also sense whether the Hallow spell is active there and, if so, where. 
The spell is blocked by 1 foot of stone, dirt, or wood; 1 inch of metal; or a thin sheet of lead._x000D_
</t>
  </si>
  <si>
    <t xml:space="preserve">level 5 - #abjuration Casting Time: Action Range: Self Components: V, S, M (powdered silver and iron) Duration: #Concentration, up to 1 minute 
For the duration, Celestials, Elementals, Fey, Fiends, and Undead have Disadvantage on attack rolls against you. You can end the spell early by using either of the following special functions. 
**Break Enchantment.** As a Magic action, you touch a creature that is possessed by or has the Charmed or Frightened condition from one or more creatures of the types above. The target is no longer possessed, Charmed, or Frightened by such creatures. 
**Dismissal.** As a Magic action, you target one creature you can see within 5 feet of you that has one of the creature types above. The target must succeed on a Charisma saving throw or be sent back to its home plane if it isn't there already. If they aren't on their home plane, Undead are sent to the Shadowfell, and Fey are sent to the Feywild_x000D_
</t>
  </si>
  <si>
    <t xml:space="preserve">level 5 - #enchantment Casting Time: Action Range: 60 feet Components: V, S Duration: #Concentration, up to 1 minute 
One Humanoid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6 (up to 10 minutes), 7 (up to 1 hour), or 8+ (up to 8 hours)._x000D_
</t>
  </si>
  <si>
    <t xml:space="preserve">level 1 - #conjuration Casting Time: Action Range: 90 feet Components: V, S Duration: #Concentration, up to 1 minute 
Grasping plants sprout from the ground in a 20-foot square within range. For the duration, these plants turn the ground in the area into Difficult Terrain. They disappear when the spell ends. Each creature (other than you) in the area when you cast the spell must succeed on a Strength saving throw or have the Restrained condition until the spell ends. A Restrained creature can take an action to make a Strength (Athletics) check against your spell save DC. On a success, it frees itself from the grasping plants and is no longer Restrained by them._x000D_
</t>
  </si>
  <si>
    <t xml:space="preserve">level 2 - #enchantment Casting Time: Action Range: 60 feet Components: V, S Duration: #Concentration, up to 1 minute 
You weave a distracting string of words, causing creatures of your choice that you can see within range to make a Wisdom saving throw. Any creature you or your companions are fighting automatically succeeds on this save. On a failed save, a target has a âˆ’10 penalty to Wisdom (Perception) checks and Passive Perception until the spell ends._x000D_
</t>
  </si>
  <si>
    <t xml:space="preserve">level 3 - #illusion Casting Time: Action Range: Self Components: V, S, M (a white feather) Duration: #Concentration, up to 1 minute 
Each creature in a 30-foot Cone must succeed on a Wisdom saving throw or drop whatever it is holding and have the Frightened condition for the duration. 
A Frightened creature takes the Dash action and moves away from you by the safest route on each of its turns unless there is nowhere to move. If the creature ends its turn in a space where it doesn't have line of sight to you, the creature makes a Wisdom saving throw. On a successful save, the spell ends on that creature._x000D_
</t>
  </si>
  <si>
    <t xml:space="preserve">level 6 - #abjuration Casting Time: Action Range: Self Components: V, S, M (a glass bead) Duration: #Concentration, up to 1 minute 
An immobile, shimmering barrier appears in a 10-foot Emanation around you and remains for the duration.
Any spell of level 5 or lower cast from outside the barrier can't affect anything within it. Such a spell can target creatures and objects within the barrier, but the spell has no effect on them. Similarly, the area within the barrier is excluded from areas of effect created by such spells. 
Using a Higher-Level Spell Slot. The barrier blocks spells of 1 level higher for each spell slot level above 6._x000D_
</t>
  </si>
  <si>
    <t xml:space="preserve">level 3 - #abjuration Casting Time: 1 hour Range: Touch Components: V, S, M (powdered diamond worth 200+ GP, which the spell consumes) Duration: Until dispelled or triggered You inscribe a glyph that later unleashes a magical effect. 
You inscribe it either on a surface (such as a table or a section of floor) or within an object that can be closed (such as a book or chest) to conceal the glyph. The glyph can cover an area no larger than 10 feet in diameter. If the surface or object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whether it's an explosive rune or a spell glyph, as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Once a glyph is triggered, this spell ends. You can refine the trigger so that only creatures of certain types activate it (for example, the glyph could be set to affect Aberrations). You can also set conditions for creatures that don't trigger the glyph, such as those who say a certain password. 
**Explosive Rune.** When triggered, the glyph erupts with magical energy in a 20-foot-radius Sphere centered on the glyph. Each creature in the area makes a Dexterity saving throw. A creature takes 5d8 Acid, Cold, Fire, Lightning, or Thunder damage (your choice when you create the glyph) on a failed save or half as much damage on a successful one. 
**Spell Glyph.** You can store a prepared spell of level 3 or lower in the glyph by casting it as part of creating the glyph. The spell must target a single creature or an area. The spell being stored has no immediate effect when cast in this way. When the glyph is triggered, the stored spell takes effect.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 
Using a Higher-Level Spell Slot. The damage of an explosive rune increases by 1d8 for each spell slot level above 3. If you create a spell glyph, you can store any spell of up to the same level as the spell slot you use for the Glyph of Warding._x000D_
</t>
  </si>
  <si>
    <t xml:space="preserve">level 4 - #illusion Casting Time: Action Range: Touch Components: V, S Duration: #Concentration, up to 1 minute 
A creature you touch has the Invisible condition until the spell ends._x000D_
</t>
  </si>
  <si>
    <t xml:space="preserve">level 2 - #evocation Casting Time: Action Range: Self Components: V, S, M (a legume seed) Duration: #Concentration, up to 1 minute 
A Line of strong wind 60 feet long and 10 feet wide blasts from you in a direction you choose for the duration. Each creature in the Line must succeed on a Strength saving throw or be pushed 15 feet away from you in a direction following the Line. A creature that ends its turn in the Line must make the same save. 
Any creature in the Line must spend 2 feet of movement for every 1 foot it moves when moving closer to you.
The gust disperses gas or vapor, and it extinguishes candles and similar unprotected flames in the area. It causes protected flames, such as those of lanterns, to dance wildly and has a 50 percent chance to extinguish them. 
As a Bonus Action on your later turns, you can change the direction in which the Line blasts from you_x000D_
</t>
  </si>
  <si>
    <t xml:space="preserve">level 5 - #evocation Casting Time: Action Range: 120 feet Components: V, S, M (a pinch of phosphorus) Duration: #Concentration, up to 1 minute 
Description not available (not OGL)_x000D_
</t>
  </si>
  <si>
    <t xml:space="preserve">level 2 - #transmutation Casting Time: Action Range: 60 feet Components: V, S, M (a metal spring) Duration: #Concentration, up to 10 minutes 
One creature or loose object of your choice that you can see within range rises vertically up to 20 feet and remains suspended there for the duration. The spell can levitate an object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take a Magic action to move the target, which must remain within the spell's range. 
When the spell ends, the target floats gently to the ground if it is still aloft_x000D_
</t>
  </si>
  <si>
    <t xml:space="preserve">level 2 - #divination Casting Time: Action Range: 120 feet Components: S Duration: #Concentration, up to 1 hour 
You drive a spike of psionic energy into the mind of one creature you can see within range. The target makes a Wisdom saving throw, taking 3d8 Psychic damage on a failed save or half as much damage on a successful one. On a failed save, you also always know the target's location until the spell ends, but only while the two of you are on the same plane of existence. While you have this knowledge, the target can't become hidden from you, and if it has the Invisible condition, it gains no benefit from that condition against you. 
Using a Higher-Level Spell Slot. The damage increases by 1d8 for each spell slot level above 2_x000D_
</t>
  </si>
  <si>
    <t xml:space="preserve">level 5 - #illusion Casting Time: Action Range: Self Components: S Duration: #Concentration, up to 1 hour 
You gain the Invisible condition at the same time that an illusory double of you appears where you are standing. The double lasts for the duration, but the invisibility ends immediately after you make an attack roll, deal damage, or cast a spell. 
As a Magic action, you can move the illusory double up to twice your Speed and make it gesture, speak, and behave in whatever way you choose. It is intangible and invulnerable. 
You can see through its eyes and hear through its ears as if you were located where it is._x000D_
</t>
  </si>
  <si>
    <t xml:space="preserve">level 2 - #evocation Casting Time: Action Range: 120 feet Components: V, S, M (a moonseed leaf) Duration: #Concentration, up to 1 minute 
A silvery beam of pale light shines down in a 5-foot-radius, 40- foot-high Cylinder centered on a point within range. Until the spell ends, Dim Light fills the Cylinder, and you can take a Magic action on later turns to move the Cylinder up to 60 feet. When the Cylinder appears, each creature in it makes a Constitution saving throw. On a failed save, a creature takes 2d10 Radiant damage, and if the creature is shape-shifted (as a result of the Polymorph spell, for example), it reverts to its true form and can't shape-shift until it leaves the Cylinder. On a successful save, a creature takes half as much damage only. A creature also makes this save when the spell's area moves into its space and when it enters the spell's area or ends its turn there. A creature makes this save only once per turn. 
Using a Higher-Level Spell Slot. The damage increases by 1d10 for each spell slot level above 2._x000D_
</t>
  </si>
  <si>
    <t xml:space="preserve">level 9 - #transmutation Casting Time: Action Range: Self Components: V, S, M (a jade circlet worth 1,500+ GP) Duration: #Concentration, up to 1 hour 
You shape-shift into another creature for the duration or until you take a Magic action to shape-shift into a different eligible form. The new form must be of a creature that has a Challenge Rating no higher than your level or Challenge Rating. You must have seen the sort of creature before, and it can't be a Construct or an Undead. When you shape-shift, you gain a number of Temporary Hit Points equal to the Hit Points of the form. The spell ends early if you have no Temporary Hit Points left. 
Your game statistics are replaced by the stat block of the chosen form, but you retain your creature type; alignment; personality; Intelligence, Wisdom, and Charisma scores; Hit Points; Hit Point Dice; proficiencies; and ability to communicate. If you have the Spellcasting feature, you retain it too. 
Upon shape-shifting, you determine whether your equipment drops to the ground or changes in size and shape to fit the new form while you're in it._x000D_
</t>
  </si>
  <si>
    <t xml:space="preserve">level 1 - #enchantment Casting Time: Action Range: 60 feet Components: V, S, M (a pinch of sand or rose petals) Duration: #Concentration, up to 1 minute 
Each creature of your choice in a 5-foot-radius Sphere centered on a point within range must succeed on a Wisdom saving throw or have the Incapacitated condition until the end of its next turn, at which point it must repeat the save. If the target fails the second save, the target has the Unconscious condition for the duration. The spell ends on a target if it takes damage or someone within 5 feet of it takes an action to shake it out of the spell's effect.
Creatures that don't sleep, such as elves, or that have Immunity to the Exhaustion condition automatically succeed on saves against this spell_x000D_
</t>
  </si>
  <si>
    <t xml:space="preserve">level 4 - #enchantment Casting Time: Action Range: 60 feet Components: V, S Duration: #Concentration, up to 1 minute
One Beast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5 (up to 10 minutes), 6 (up to 1 hour), or 7+ (up to 8 hours)_x000D_
</t>
  </si>
  <si>
    <t xml:space="preserve">level 8 - #enchantment Casting Time: Action Range: 60 feet Components: V, S Duration: #Concentration, up to 1 hour 
One creature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level 9 spell slot (up to 8 hours)._x000D_
</t>
  </si>
  <si>
    <t xml:space="preserve">level 8 - #transmutation Casting Time: Action Range: 500 feet Components: V, S, M (a fractured rock) Duration: #Concentration, up to 1 minute 
Choose a point on the ground that you can see within range. For the duration, an intense tremor rips through the ground in a 100- foot-radius circle centered on that point. The ground there is Difficult Terrain. 
When you cast this spell and at the end of each of your turns for the duration, each creature on the ground in the area makes a Dexterity saving throw. On a failed save, a creature has the Prone condition, and its #Concentration is broken. You can also cause the effects below. 
**Fissures.** A total of 1d6 fissures open in the spell's area at the end of the turn you cast it. You choose the fissures' locations, which can't be under structures. Each fissure is 1d10 x 10 feet deep and 10 feet wide, and it extends from one edge of the spell's area to another edge. A creature in the same space as a fissure must succeed on a Dexterity saving throw or fall in. A creature that successfully saves moves with the fissure's edge as it opens. 
**Structures.** The tremor deals 50 Bludgeoning damage to any structure in contact with the ground in the area when you cast the spell and at the end of each of your turns until the spell ends. If a structure drops to 0 Hit Points, it collapses. 
A creature within a distance from a collapsing structure equal to half the structure's height makes a Dexterity saving throw. On a failed save, the creature takes 12d6 Bludgeoning damage, has the Prone condition, and is buried in the rubble, requiring a DC 20 Strength (Athletics) check as an action to escape. On a successful save, the creature takes half as much damage only._x000D_
</t>
  </si>
  <si>
    <t xml:space="preserve">level 6 - #transmutation Casting Time: Action Range: 60 feet Components: V, S, M (a cockatrice feather) Duration: #Concentration, up to 1 minute 
You attempt to turn one creature that you can see within range into stone. The target makes a Constitution saving throw. On a failed save, it has the Restrained condition for the duration. On a successful save, its Speed is 0 until the start of your next turn. Constructs automatically succeed on the save. 
A Restrained target makes another Constitution saving throw at the end of each of its turns. If it successfully saves against this spell three times, the spell ends. If it fails its saves three times, it is turned to stone and has the Petrified condition for the duration. The successes and failures needn't be consecutive; keep track of both until the target collects three of a kind. 
If you maintain your #Concentration on this spell for the entire possible duration, the target is Petrified until the condition is ended by Greater Restoration or similar magic._x000D_
</t>
  </si>
  <si>
    <t xml:space="preserve">level 3 - #illusion Casting Time: Action Range: 120 feet Components: V, S, M (a bit of fleece) Duration: #Concentration, up to 10 minutes 
You create the image of an object, a creature, or some other visible phenomenon that is no larger than a 20-foot Cube. The image appears at a spot that you can see within range and lasts for the duration. It seems real, including sounds, smells, and temperature appropriate to the thing depicted, but it can't deal damage or cause conditions. 
If you are within range of the illusion, you can take a Magic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for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 
Using a Higher-Level Spell Slot. The spell lasts until dispelled, without requiring #Concentration, if cast with a level 4+ spell slot_x000D_
</t>
  </si>
  <si>
    <t xml:space="preserve">level 3 - #conjuration Casting Time: Action Range: 150 feet Components: V, S, M (a miniature umbrella) Duration: #Concentration, up to 1 minute 
Until the spell ends, sleet falls in a 40-foot-tall, 20-foot-radius Cylinder centered on a point you choose within range. The area is Heavily Obscured, and exposed flames in the area are doused. Ground in the Cylinder is Difficult Terrain. When a creature enters the Cylinder for the first time on a turn or starts its turn there, it must succeed on a Dexterity saving throw or have the Prone condition and lose #Concentration_x000D_
</t>
  </si>
  <si>
    <t xml:space="preserve">level 9 - #transmutation Casting Time: Action Range: 30 feet Components: V, S, M (a drop of mercury, a dollop of gum arabic, and a wisp of smoke) Duration: #Concentration, up to 1 hour 
Choose one creature or nonmagical object that you can see within range. The creature shape-shifts into a different creature or a nonmagical object, or the object shape-shifts into a creature (the object must be neither worn nor carried). The transformation lasts for the duration or until the target dies or is destroyed, but if you maintain #Concentration on this spell for the full duration, the spell lasts until dispelled. 
An unwilling creature can make a Wisdom saving throw, and if it succeeds, it isn't affected by this spell. 
**Creature into Creature**. If you turn a creature into another kind of creature, the new form can be any kind you choose that has a Challenge Rating equal to or less than the target's Challenge Rating or level. The target's game statistics are replaced by the stat block of the new form, but it retains its Hit Points, Hit Point Dice, alignment, and personality. 
The target gains a number of Temporary Hit Points equal to the Hit Points of the new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 
**Object into Creature**. You can turn an object into any kind of creature, as long as the creature's size is no larger than the object's size and the creature has a Challenge Rating of 9 or lower. The creature is Friendly to you and your allies. In combat, it takes its turns immediately after yours, and it obeys your commands. If the spell lasts more than an hour, you no longer control the creature. It might remain Friendly to you, depending on how you have treated it. 
**Creature into Object**. If you turn a creature into an object, it transforms along with whatever it is wearing and carrying into that form, as long as the object's size is no larger than the creature's size. The creature's statistics become those of the object, and the creature has no memory of time spent in this form after the spell ends and it returns to normal._x000D_
</t>
  </si>
  <si>
    <t xml:space="preserve">level 5 - #evocation Casting Time: Action Range: 120 feet Components: V, S, M (a cube of granite) Duration: #Concentration, up to 10 minutes 
A nonmagical wall of solid stone springs into existence at a point you choose within range. The wall is 6 inches thick and is composed of ten 10-foot-by-10-foot panels. Each panel must be contiguous with another panel. Alternatively, you can create 10- foot-by-20-foot panels that are only 3 inches thick. 
If the wall cuts through a creature's space when it appears, the creature is pushed to one side of the wall (you choose which side).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 on a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battlements and the like. 
The wall is an object made of stone that can be damaged and thus breached. Each panel has AC 15 and 30 Hit Points per inch of thickness, and it has Immunity to Poison and Psychic damage. Reducing a panel to 0 Hit Points destroys it and might cause connected panels to collapse at the DM's discretion. 
If you maintain your #Concentration on this spell for its full duration, the wall becomes permanent and can't be dispelled. Otherwise, the wall disappears when the spell ends._x000D_
</t>
  </si>
  <si>
    <t>Aid</t>
  </si>
  <si>
    <t>Animal Friendship</t>
  </si>
  <si>
    <t>enchantment</t>
  </si>
  <si>
    <t>Action</t>
  </si>
  <si>
    <t>30 ft</t>
  </si>
  <si>
    <t>24 hours</t>
  </si>
  <si>
    <t>V,S,M</t>
  </si>
  <si>
    <t>Animal Messenger</t>
  </si>
  <si>
    <t>Action or Ritual</t>
  </si>
  <si>
    <t>Ritual</t>
  </si>
  <si>
    <t>Animate Objects</t>
  </si>
  <si>
    <t>transmutation</t>
  </si>
  <si>
    <t>120 ft</t>
  </si>
  <si>
    <t>1 minute</t>
  </si>
  <si>
    <t>V,S</t>
  </si>
  <si>
    <t>Concentration</t>
  </si>
  <si>
    <t>Antipathy/Sympathy</t>
  </si>
  <si>
    <t>1 hour</t>
  </si>
  <si>
    <t>60 ft</t>
  </si>
  <si>
    <t>10 days</t>
  </si>
  <si>
    <t>Awaken</t>
  </si>
  <si>
    <t>8 hours</t>
  </si>
  <si>
    <t>Touch</t>
  </si>
  <si>
    <t>Instantaneous</t>
  </si>
  <si>
    <t>Bane</t>
  </si>
  <si>
    <t>Befuddlement</t>
  </si>
  <si>
    <t>150 ft</t>
  </si>
  <si>
    <t>Bestow Curse</t>
  </si>
  <si>
    <t>necromancy</t>
  </si>
  <si>
    <t>Blade Ward</t>
  </si>
  <si>
    <t>abjuration</t>
  </si>
  <si>
    <t>Self</t>
  </si>
  <si>
    <t>Blindness/Deafness</t>
  </si>
  <si>
    <t>V</t>
  </si>
  <si>
    <t>Calm Emotions</t>
  </si>
  <si>
    <t>Charm Monster</t>
  </si>
  <si>
    <t>Charm Person</t>
  </si>
  <si>
    <t>Clairvoyance</t>
  </si>
  <si>
    <t>divination</t>
  </si>
  <si>
    <t>10 minutes</t>
  </si>
  <si>
    <t>1 mile</t>
  </si>
  <si>
    <t>Cloud of Daggers</t>
  </si>
  <si>
    <t>conjuration</t>
  </si>
  <si>
    <t>Color Spray</t>
  </si>
  <si>
    <t>illusion</t>
  </si>
  <si>
    <t>Command</t>
  </si>
  <si>
    <t>Comprehend Languages</t>
  </si>
  <si>
    <t>Compulsion</t>
  </si>
  <si>
    <t>Confusion</t>
  </si>
  <si>
    <t>90 ft</t>
  </si>
  <si>
    <t>Crown of Madness</t>
  </si>
  <si>
    <t>Cure Wounds</t>
  </si>
  <si>
    <t>Dancing Lights</t>
  </si>
  <si>
    <t>Detect Magic</t>
  </si>
  <si>
    <t>Detect Thoughts</t>
  </si>
  <si>
    <t>Dimension Door</t>
  </si>
  <si>
    <t>500 ft</t>
  </si>
  <si>
    <t>Disguise Self</t>
  </si>
  <si>
    <t>Dispel Magic</t>
  </si>
  <si>
    <t>Dissonant Whispers</t>
  </si>
  <si>
    <t>Dominate Monster</t>
  </si>
  <si>
    <t>Dominate Person</t>
  </si>
  <si>
    <t>Dream</t>
  </si>
  <si>
    <t>Special</t>
  </si>
  <si>
    <t>Enhance Ability</t>
  </si>
  <si>
    <t>Enlarge/Reduce</t>
  </si>
  <si>
    <t>Enthrall</t>
  </si>
  <si>
    <t>Etherealness</t>
  </si>
  <si>
    <t>Eyebite</t>
  </si>
  <si>
    <t>Faerie Fire</t>
  </si>
  <si>
    <t>evocation</t>
  </si>
  <si>
    <t>Fear</t>
  </si>
  <si>
    <t>Feather Fall</t>
  </si>
  <si>
    <t>Reaction</t>
  </si>
  <si>
    <t>V,M</t>
  </si>
  <si>
    <t>Feign Death</t>
  </si>
  <si>
    <t>Find the Path</t>
  </si>
  <si>
    <t>1 day</t>
  </si>
  <si>
    <t>Forcecage</t>
  </si>
  <si>
    <t>100 ft</t>
  </si>
  <si>
    <t>Foresight</t>
  </si>
  <si>
    <t>Fount of Moonlight</t>
  </si>
  <si>
    <t>Freedom of Movement</t>
  </si>
  <si>
    <t>Friends</t>
  </si>
  <si>
    <t>10 ft</t>
  </si>
  <si>
    <t>S,M</t>
  </si>
  <si>
    <t>Geas</t>
  </si>
  <si>
    <t>30 days</t>
  </si>
  <si>
    <t>Glibness</t>
  </si>
  <si>
    <t>Glyph of Warding</t>
  </si>
  <si>
    <t>Dispelled or triggered</t>
  </si>
  <si>
    <t>Greater Invisibility</t>
  </si>
  <si>
    <t>Greater Restoration</t>
  </si>
  <si>
    <t>Guards and Wards</t>
  </si>
  <si>
    <t>Hallucinatory Terrain</t>
  </si>
  <si>
    <t>300 ft</t>
  </si>
  <si>
    <t>Healing Word</t>
  </si>
  <si>
    <t>Bonus Action</t>
  </si>
  <si>
    <t>Heat Metal</t>
  </si>
  <si>
    <t>Heroes' Feast</t>
  </si>
  <si>
    <t>Heroism</t>
  </si>
  <si>
    <t>Hold Monster</t>
  </si>
  <si>
    <t>Hold Person</t>
  </si>
  <si>
    <t>Hypnotic Pattern</t>
  </si>
  <si>
    <t>Identify</t>
  </si>
  <si>
    <t>1 minute or Ritual</t>
  </si>
  <si>
    <t>Illusory Script</t>
  </si>
  <si>
    <t>Invisibility</t>
  </si>
  <si>
    <t>Knock</t>
  </si>
  <si>
    <t>Legend Lore</t>
  </si>
  <si>
    <t>Leomund's Tiny Hut</t>
  </si>
  <si>
    <t>Lesser Restoration</t>
  </si>
  <si>
    <t>Light</t>
  </si>
  <si>
    <t>Locate Animals or Plants</t>
  </si>
  <si>
    <t>Locate Creature</t>
  </si>
  <si>
    <t>Locate Object</t>
  </si>
  <si>
    <t>Longstrider</t>
  </si>
  <si>
    <t>Mage Hand</t>
  </si>
  <si>
    <t>Magic Mouth</t>
  </si>
  <si>
    <t>Dispelled</t>
  </si>
  <si>
    <t>Major Image</t>
  </si>
  <si>
    <t>Mass Cure Wounds</t>
  </si>
  <si>
    <t>Mass Healing Word</t>
  </si>
  <si>
    <t>Mass Suggestion</t>
  </si>
  <si>
    <t>Mending</t>
  </si>
  <si>
    <t>Message</t>
  </si>
  <si>
    <t>1 round</t>
  </si>
  <si>
    <t>Mind Blank</t>
  </si>
  <si>
    <t>Minor Illusion</t>
  </si>
  <si>
    <t>Mirage Arcane</t>
  </si>
  <si>
    <t>Sight</t>
  </si>
  <si>
    <t>Mirror Image</t>
  </si>
  <si>
    <t>Mislead</t>
  </si>
  <si>
    <t>S</t>
  </si>
  <si>
    <t>Modify Memory</t>
  </si>
  <si>
    <t>Mordenkainen's Magnificent Mansion</t>
  </si>
  <si>
    <t>Mordenkainen's Sword</t>
  </si>
  <si>
    <t>Nondetection</t>
  </si>
  <si>
    <t>Otto's Irresistible Dance</t>
  </si>
  <si>
    <t>Phantasmal Force</t>
  </si>
  <si>
    <t>Phantasmal Killer</t>
  </si>
  <si>
    <t>Planar Binding</t>
  </si>
  <si>
    <t>Plant Growth</t>
  </si>
  <si>
    <t>Action (Overgrowth) or 8 hours (Enrichment)</t>
  </si>
  <si>
    <t>Polymorph</t>
  </si>
  <si>
    <t>Power Word Fortify</t>
  </si>
  <si>
    <t>Power Word Heal</t>
  </si>
  <si>
    <t>Power Word Kill</t>
  </si>
  <si>
    <t>Power Word Stun</t>
  </si>
  <si>
    <t>Prestidigitation</t>
  </si>
  <si>
    <t>Prismatic Spray</t>
  </si>
  <si>
    <t>Prismatic Wall</t>
  </si>
  <si>
    <t>Programmed Illusion</t>
  </si>
  <si>
    <t>Project Image</t>
  </si>
  <si>
    <t>500 miles</t>
  </si>
  <si>
    <t>Raise Dead</t>
  </si>
  <si>
    <t>Rary's Telepathic Bond</t>
  </si>
  <si>
    <t>Regenerate</t>
  </si>
  <si>
    <t>Resurrection</t>
  </si>
  <si>
    <t>Scrying</t>
  </si>
  <si>
    <t>See Invisibility</t>
  </si>
  <si>
    <t>Seeming</t>
  </si>
  <si>
    <t>Sending</t>
  </si>
  <si>
    <t>Unlimited</t>
  </si>
  <si>
    <t>Shatter</t>
  </si>
  <si>
    <t>Silence</t>
  </si>
  <si>
    <t>Silent Image</t>
  </si>
  <si>
    <t>Sleep</t>
  </si>
  <si>
    <t>Slow</t>
  </si>
  <si>
    <t>Speak with Animals</t>
  </si>
  <si>
    <t>Speak with Dead</t>
  </si>
  <si>
    <t>Speak with Plants</t>
  </si>
  <si>
    <t>Starry Wisp</t>
  </si>
  <si>
    <t>Stinking Cloud</t>
  </si>
  <si>
    <t>Suggestion</t>
  </si>
  <si>
    <t>Symbol</t>
  </si>
  <si>
    <t>Synaptic Static</t>
  </si>
  <si>
    <t>Tasha's Hideous Laughter</t>
  </si>
  <si>
    <t>Teleport</t>
  </si>
  <si>
    <t>Teleportation Circle</t>
  </si>
  <si>
    <t>Thunderclap</t>
  </si>
  <si>
    <t>Thunderwave</t>
  </si>
  <si>
    <t>Tongues</t>
  </si>
  <si>
    <t>True Polymorph</t>
  </si>
  <si>
    <t>True Seeing</t>
  </si>
  <si>
    <t>True Strike</t>
  </si>
  <si>
    <t>Unseen Servant</t>
  </si>
  <si>
    <t>Vicious Mockery</t>
  </si>
  <si>
    <t>Yolande's Regal Presence</t>
  </si>
  <si>
    <t>Zone of Truth</t>
  </si>
  <si>
    <t>Animate Dead</t>
  </si>
  <si>
    <t>Antimagic Field</t>
  </si>
  <si>
    <t>Astral Projection</t>
  </si>
  <si>
    <t>Augury</t>
  </si>
  <si>
    <t>Aura of Life</t>
  </si>
  <si>
    <t>Aura of Purity</t>
  </si>
  <si>
    <t>Aura of Vitality</t>
  </si>
  <si>
    <t>Banishment</t>
  </si>
  <si>
    <t>Beacon of Hope</t>
  </si>
  <si>
    <t>Blade Barrier</t>
  </si>
  <si>
    <t>Bless</t>
  </si>
  <si>
    <t>Circle of Power</t>
  </si>
  <si>
    <t>Commune</t>
  </si>
  <si>
    <t>Conjure Celestial</t>
  </si>
  <si>
    <t>Contagion</t>
  </si>
  <si>
    <t>7 days</t>
  </si>
  <si>
    <t>Continual Flame</t>
  </si>
  <si>
    <t>Control Water</t>
  </si>
  <si>
    <t>Control Weather</t>
  </si>
  <si>
    <t>Create Food and Water</t>
  </si>
  <si>
    <t>Create or Destroy Water</t>
  </si>
  <si>
    <t>Create Undead</t>
  </si>
  <si>
    <t>Daylight</t>
  </si>
  <si>
    <t>Death Ward</t>
  </si>
  <si>
    <t>Detect Evil and Good</t>
  </si>
  <si>
    <t>Detect Poison and Disease</t>
  </si>
  <si>
    <t>Dispel Evil and Good</t>
  </si>
  <si>
    <t>Divination</t>
  </si>
  <si>
    <t>Divine Word</t>
  </si>
  <si>
    <t>Earthquake</t>
  </si>
  <si>
    <t>Find Traps</t>
  </si>
  <si>
    <t>Fire Storm</t>
  </si>
  <si>
    <t>Flame Strike</t>
  </si>
  <si>
    <t>Forbiddance</t>
  </si>
  <si>
    <t>10 minutes or Ritual</t>
  </si>
  <si>
    <t>Gate</t>
  </si>
  <si>
    <t>Gentle Repose</t>
  </si>
  <si>
    <t>Guardian of Faith</t>
  </si>
  <si>
    <t>Guidance</t>
  </si>
  <si>
    <t>Guiding Bolt</t>
  </si>
  <si>
    <t>Hallow</t>
  </si>
  <si>
    <t>Harm</t>
  </si>
  <si>
    <t>Heal</t>
  </si>
  <si>
    <t>Holy Aura</t>
  </si>
  <si>
    <t>Inflict Wounds</t>
  </si>
  <si>
    <t>Insect Plague</t>
  </si>
  <si>
    <t>Magic Circle</t>
  </si>
  <si>
    <t>Mass Heal</t>
  </si>
  <si>
    <t>Meld into Stone</t>
  </si>
  <si>
    <t>Planar Ally</t>
  </si>
  <si>
    <t>Plane Shift</t>
  </si>
  <si>
    <t>Prayer of Healing</t>
  </si>
  <si>
    <t>Protection from Energy</t>
  </si>
  <si>
    <t>Protection from Evil and Good</t>
  </si>
  <si>
    <t>Protection from Poison</t>
  </si>
  <si>
    <t>Purify Food and Drink</t>
  </si>
  <si>
    <t>Remove Curse</t>
  </si>
  <si>
    <t>Resistance</t>
  </si>
  <si>
    <t>Revivify</t>
  </si>
  <si>
    <t>Sacred Flame</t>
  </si>
  <si>
    <t>Sanctuary</t>
  </si>
  <si>
    <t>Shield of Faith</t>
  </si>
  <si>
    <t>Spare the Dying</t>
  </si>
  <si>
    <t>15 ft</t>
  </si>
  <si>
    <t>Spirit Guardians</t>
  </si>
  <si>
    <t>Spiritual Weapon</t>
  </si>
  <si>
    <t>Stone Shape</t>
  </si>
  <si>
    <t>Summon Celestial</t>
  </si>
  <si>
    <t>Sunbeam</t>
  </si>
  <si>
    <t>Sunburst</t>
  </si>
  <si>
    <t>Thaumaturgy</t>
  </si>
  <si>
    <t>Toll the Dead</t>
  </si>
  <si>
    <t>True Resurrection</t>
  </si>
  <si>
    <t>Warding Bond</t>
  </si>
  <si>
    <t>Water Walk</t>
  </si>
  <si>
    <t>Word of Radiance</t>
  </si>
  <si>
    <t>Word of Recall</t>
  </si>
  <si>
    <t>5 ft</t>
  </si>
  <si>
    <t>Animal Shapes</t>
  </si>
  <si>
    <t>Antilife Shell</t>
  </si>
  <si>
    <t>Barkskin</t>
  </si>
  <si>
    <t>Beast Sense</t>
  </si>
  <si>
    <t>Blight</t>
  </si>
  <si>
    <t>Call Lightning</t>
  </si>
  <si>
    <t>Commune with Nature</t>
  </si>
  <si>
    <t>Cone of Cold</t>
  </si>
  <si>
    <t>Conjure Animals</t>
  </si>
  <si>
    <t>Conjure Elemental</t>
  </si>
  <si>
    <t>Conjure Fey</t>
  </si>
  <si>
    <t>Conjure Minor Elementals</t>
  </si>
  <si>
    <t>Conjure Woodland Beings</t>
  </si>
  <si>
    <t>Darkvision</t>
  </si>
  <si>
    <t>Dominate Beast</t>
  </si>
  <si>
    <t>Druidcraft</t>
  </si>
  <si>
    <t>Elemental Weapon</t>
  </si>
  <si>
    <t>Elementalism</t>
  </si>
  <si>
    <t>Entangle</t>
  </si>
  <si>
    <t>Fire Shield</t>
  </si>
  <si>
    <t>Flame Blade</t>
  </si>
  <si>
    <t>Flaming Sphere</t>
  </si>
  <si>
    <t>Flesh to Stone</t>
  </si>
  <si>
    <t>Fog Cloud</t>
  </si>
  <si>
    <t>Giant Insect</t>
  </si>
  <si>
    <t>Goodberry</t>
  </si>
  <si>
    <t>Grasping Vine</t>
  </si>
  <si>
    <t>Gust of Wind</t>
  </si>
  <si>
    <t>Ice Knife</t>
  </si>
  <si>
    <t>Ice Storm</t>
  </si>
  <si>
    <t>Incendiary CLoud</t>
  </si>
  <si>
    <t>Jump</t>
  </si>
  <si>
    <t>Moonbeam</t>
  </si>
  <si>
    <t>Move Earth</t>
  </si>
  <si>
    <t>2 hours</t>
  </si>
  <si>
    <t>Pass without Trace</t>
  </si>
  <si>
    <t>Poison Spray</t>
  </si>
  <si>
    <t>Produce Flame</t>
  </si>
  <si>
    <t>Reincarnate</t>
  </si>
  <si>
    <t>Reverse Gravity</t>
  </si>
  <si>
    <t>Shapechange</t>
  </si>
  <si>
    <t>Shillelagh</t>
  </si>
  <si>
    <t>Sleet Storm</t>
  </si>
  <si>
    <t>Spike Growth</t>
  </si>
  <si>
    <t>Stoneskin</t>
  </si>
  <si>
    <t>Storm of Vengeance</t>
  </si>
  <si>
    <t>Summon Beast</t>
  </si>
  <si>
    <t>Summon Elemental</t>
  </si>
  <si>
    <t>Summon Fey</t>
  </si>
  <si>
    <t>Thorn Whip</t>
  </si>
  <si>
    <t>Transport via Plants</t>
  </si>
  <si>
    <t>Tree Stride</t>
  </si>
  <si>
    <t>Tsunami</t>
  </si>
  <si>
    <t>6 rounds</t>
  </si>
  <si>
    <t>Wall of Fire</t>
  </si>
  <si>
    <t>Wall of Stone</t>
  </si>
  <si>
    <t>Wall of Thorns</t>
  </si>
  <si>
    <t>Water Breathing</t>
  </si>
  <si>
    <t>Wind Walk</t>
  </si>
  <si>
    <t>Wind Wall</t>
  </si>
  <si>
    <t>Banishing Smite</t>
  </si>
  <si>
    <t>Blinding Smite</t>
  </si>
  <si>
    <t>Compelled Duel</t>
  </si>
  <si>
    <t>Crusader's Mantle</t>
  </si>
  <si>
    <t>Destructive Wave</t>
  </si>
  <si>
    <t>Divine Favor</t>
  </si>
  <si>
    <t>Divine Smite</t>
  </si>
  <si>
    <t>Find Steed</t>
  </si>
  <si>
    <t>Magic Weapon</t>
  </si>
  <si>
    <t>Searing Smite</t>
  </si>
  <si>
    <t>Shining Smite</t>
  </si>
  <si>
    <t>Staggering Smite</t>
  </si>
  <si>
    <t>Thunderous Smite</t>
  </si>
  <si>
    <t>Wrathful Smite</t>
  </si>
  <si>
    <t>Alarm</t>
  </si>
  <si>
    <t>Conjure Barrage</t>
  </si>
  <si>
    <t>Conjure Volley</t>
  </si>
  <si>
    <t>Cordon of Arrows</t>
  </si>
  <si>
    <t>Ensnaring Strike</t>
  </si>
  <si>
    <t>Hail of Thorns</t>
  </si>
  <si>
    <t>Hunter's Mark</t>
  </si>
  <si>
    <t>Lightning Arrow</t>
  </si>
  <si>
    <t>Steel Wind Strike</t>
  </si>
  <si>
    <t>Swift Quiver</t>
  </si>
  <si>
    <t>Acid Splash</t>
  </si>
  <si>
    <t>Alter Self</t>
  </si>
  <si>
    <t>Arcane Gate</t>
  </si>
  <si>
    <t>Arcane Vigor</t>
  </si>
  <si>
    <t>Bigby's Hand</t>
  </si>
  <si>
    <t>Blink</t>
  </si>
  <si>
    <t>Blur</t>
  </si>
  <si>
    <t>Burning Hands</t>
  </si>
  <si>
    <t>Chain Lightning</t>
  </si>
  <si>
    <t>Chill Touch</t>
  </si>
  <si>
    <t>Chromatic Orb</t>
  </si>
  <si>
    <t>Circle of Death</t>
  </si>
  <si>
    <t>Cloudkill</t>
  </si>
  <si>
    <t>Counterspell</t>
  </si>
  <si>
    <t>Creation</t>
  </si>
  <si>
    <t>Darkness</t>
  </si>
  <si>
    <t>Delayed Blast Fireball</t>
  </si>
  <si>
    <t>Demiplane</t>
  </si>
  <si>
    <t>Disintegrate</t>
  </si>
  <si>
    <t>Dragon's Breath</t>
  </si>
  <si>
    <t>Expeditious Retreat</t>
  </si>
  <si>
    <t>False Life</t>
  </si>
  <si>
    <t>Finger of Death</t>
  </si>
  <si>
    <t>Fire Bolt</t>
  </si>
  <si>
    <t>Fireball</t>
  </si>
  <si>
    <t>Fly</t>
  </si>
  <si>
    <t>Gaseous Form</t>
  </si>
  <si>
    <t>Globe of Invulnerability</t>
  </si>
  <si>
    <t>Grease</t>
  </si>
  <si>
    <t>Haste</t>
  </si>
  <si>
    <t>Levitate</t>
  </si>
  <si>
    <t>Lightning Bolt</t>
  </si>
  <si>
    <t>Mage Armor</t>
  </si>
  <si>
    <t>Magic Missile</t>
  </si>
  <si>
    <t>Meteor Swarm</t>
  </si>
  <si>
    <t>Mind Sliver</t>
  </si>
  <si>
    <t>Mind Spike</t>
  </si>
  <si>
    <t>Misty Step</t>
  </si>
  <si>
    <t>Otiluke's Freezing Sphere</t>
  </si>
  <si>
    <t>Ray of Frost</t>
  </si>
  <si>
    <t>Ray of Sickness</t>
  </si>
  <si>
    <t>Scorching Ray</t>
  </si>
  <si>
    <t>Shield</t>
  </si>
  <si>
    <t>Shocking Grasp</t>
  </si>
  <si>
    <t>Sorcerous Burst</t>
  </si>
  <si>
    <t>Spider Climb</t>
  </si>
  <si>
    <t>Telekinesis</t>
  </si>
  <si>
    <t>Time Stop</t>
  </si>
  <si>
    <t>Vampiric Touch</t>
  </si>
  <si>
    <t>Vitriolic Sphere</t>
  </si>
  <si>
    <t>Web</t>
  </si>
  <si>
    <t>Wish</t>
  </si>
  <si>
    <t>Witch Bolt</t>
  </si>
  <si>
    <t>Armor of Agathys</t>
  </si>
  <si>
    <t>Arms of Hadar</t>
  </si>
  <si>
    <t>Contact Other Plane</t>
  </si>
  <si>
    <t>Eldritch Blast</t>
  </si>
  <si>
    <t>Hellish Rebuke</t>
  </si>
  <si>
    <t>Hex</t>
  </si>
  <si>
    <t>Hunger of Hadar</t>
  </si>
  <si>
    <t>Imprisonment</t>
  </si>
  <si>
    <t>Jallarzi's Storm of Radiance</t>
  </si>
  <si>
    <t>Ray of Enfeeblement</t>
  </si>
  <si>
    <t>Summon Aberration</t>
  </si>
  <si>
    <t>Summon Fiend</t>
  </si>
  <si>
    <t>Summon Undead</t>
  </si>
  <si>
    <t>Tasha's Bubbling Cauldron</t>
  </si>
  <si>
    <t>Weird</t>
  </si>
  <si>
    <t>Arcane Eye</t>
  </si>
  <si>
    <t>Arcane Lock</t>
  </si>
  <si>
    <t>Clone</t>
  </si>
  <si>
    <t>Contingency</t>
  </si>
  <si>
    <t>Drawmij's Instant Summons</t>
  </si>
  <si>
    <t>Evard's Black Tentacles</t>
  </si>
  <si>
    <t>Fabricate</t>
  </si>
  <si>
    <t>Find Familiar</t>
  </si>
  <si>
    <t>1 hour or Ritual</t>
  </si>
  <si>
    <t>Leomund's Secret Chest</t>
  </si>
  <si>
    <t>Magic Jar</t>
  </si>
  <si>
    <t>Maze</t>
  </si>
  <si>
    <t>Melf's Acid Arrow</t>
  </si>
  <si>
    <t>Mordenkainen's Faithful Hound</t>
  </si>
  <si>
    <t>Mordenkainen's Private Sanctum</t>
  </si>
  <si>
    <t>Nystul's Magic Aura</t>
  </si>
  <si>
    <t>Otiluke's Resilient Sphere</t>
  </si>
  <si>
    <t>Passwall</t>
  </si>
  <si>
    <t>Phantom Steed</t>
  </si>
  <si>
    <t>Rope Trick</t>
  </si>
  <si>
    <t>Sequester</t>
  </si>
  <si>
    <t>Simulacrum</t>
  </si>
  <si>
    <t>12 hours</t>
  </si>
  <si>
    <t>Summon Construct</t>
  </si>
  <si>
    <t>Summon Dragon</t>
  </si>
  <si>
    <t>Telepathy</t>
  </si>
  <si>
    <t>Tenser's Floating Disk</t>
  </si>
  <si>
    <t>Wall of Force</t>
  </si>
  <si>
    <t>Wall of Ice</t>
  </si>
  <si>
    <t xml:space="preserve">level 3 - #evocation Casting Time: #BonusAction, which you take immediately after hitting a creature with a Melee weapon or an Unarmed Strike Range: Self Components: V Duration: 1 minute 
The target hit by the strike takes an extra 3d8 Radiant damage from the attack, and the target has the Blinded condition until the spell ends. At the end of each of its turns, the Blinded target makes a Constitution saving throw, ending the spell on itself on a success. 
Using a Higher-Level Spell Slot. The extra damage increases by 1d8 for each spell slot level above 3_x000D_
</t>
  </si>
  <si>
    <t xml:space="preserve">level 1 - #enchantment Casting Time: #BonusAction Range: 30 feet Components: V Duration: #Concentration, up to 1 minute 
You try to compel a creature into a duel. One creature that you can see within range makes a Wisdom saving throw. On a failed save, the target has Disadvantage on attack rolls against creatures other than you, and it can't willingly move to a space that is more than 30 feet away from you. 
The spell ends if you make an attack roll against a creature other than the target, if you cast a spell on an enemy other than the target, if an ally of yours damages the target, or if you end your turn more than 30 feet away from the target._x000D_
</t>
  </si>
  <si>
    <t xml:space="preserve">level 1 - #transmutation Casting Time: #BonusAction Range: Self Components: V, S Duration: 1 minute 
Until the spell ends, your attacks with weapons deal an extra 1d4 Radiant damage on a hit_x000D_
</t>
  </si>
  <si>
    <t xml:space="preserve">level 1 - #evocation Casting Time: #BonusAction, which you take immediately after hitting a target with a Melee weapon or an Unarmed Strike Range: Self Components: V Duration: Instantaneous 
The target takes an extra 2d8 Radiant damage from the attack. The damage increases by 1d8 if the target is a Fiend or an Undead. 
Using a Higher-Level Spell Slot. The damage increases by 1d8 for each spell slot level above 1_x000D_
</t>
  </si>
  <si>
    <t xml:space="preserve">level 7 - #evocation Casting Time: #BonusAction Range: 30 feet Components: V Duration: Instantaneous 
You utter a word imbued with power from the Upper Planes. Each creature of your choice in range makes a Charisma saving throw. On a failed save, a target that has 50 Hit Points or fewer suffers an effect based on its current Hit Points, as shown in the Divine Word Effects table. Regardless of its Hit Points, a Celestial, an Elemental, a Fey, or a Fiend target that fails its save is forced back to its plane of origin (if it isn't there already) and can't return to the current plane for 24 hours by any means short of a Wish spell. 
| Hit Points | Effect                                                                   |
| ---------- | ------------------------------------------------------------------------ |
|            |                                                                          |
| 0â€“20       | The target dies.                                                         |
| 21â€“30      | The target has the Blinded, Deafened, and Stunned conditions for 1 hour. |
| 31â€“40      | The target has the Blinded and Deafened conditions for 10 minutes.       |
| 41â€“50      | The target has the Deafened condition for 1 minute                       |
</t>
  </si>
  <si>
    <t xml:space="preserve">level 2 - #transmutation Casting Time: #BonusAction Range: Touch Components: V, S, M (a hot pepper) Duration: #Concentration, up to 1 minute 
You touch one willing creature, and choose Acid, Cold, Fire, Lightning, or Poison. Until the spell ends, the target can take a Magic action to exhale a 15-foot Cone. Each creature in that area makes a Dexterity saving throw, taking 3d6 damage of the chosen type on a failed save or half as much damage on a successful one. 
Using a Higher-Level Spell Slot. The damage increases by 1d6 for each spell slot level above 2._x000D_
</t>
  </si>
  <si>
    <t xml:space="preserve">level 1 - #conjuration Casting Time: #BonusAction, which you take immediately after hitting a creature with a weapon Range: Self Components: V Duration: #Concentration, up to 1 minute 
As you hit the target, grasping vines appear on it, and it makes a Strength saving throw. A Large or larger creature has Advantage on this save. On a failed save, the target has the Restrained condition until the spell ends. On a successful save, the vines shrivel away, and the spell ends. 
While Restrained, the target takes 1d6 Piercing damage at the start of each of its turns. The target or a creature within reach of it can take an action to make a Strength (Athletics) check against your spell save DC. On a success, the spell ends. 
Using a Higher-Level Spell Slot. The damage increases by 1d6 for each spell slot level above 1_x000D_
</t>
  </si>
  <si>
    <t xml:space="preserve">level 1 - #transmutation Casting Time: #BonusAction Range: Self Components: V, S Duration: #Concentration, up to 10 minutes 
You take the Dash action, and until the spell ends, you can take that action again as a Bonus Action_x000D_
</t>
  </si>
  <si>
    <t xml:space="preserve">level 2 - #evocation Casting Time: #BonusAction Range: Self Components: V, S, M (a sumac leaf) Duration: #Concentration, up to 10 minutes 
You evoke a fiery blade in your free hand. The blade is similar in size and shape to a scimitar, and it lasts for the duration. If you let go of the blade, it disappears, but you can evoke it again as a Bonus Action. 
As a Magic action, you can make a melee spell attack with the fiery blade. On a hit, the target takes Fire damage equal to 3d6 plus your spellcasting ability modifier. 
The flaming blade sheds Bright Light in a 10-foot radius and Dim Light for an additional 10 feet. 
Using a Higher-Level Spell Slot. The damage increases by 1d6 for each spell slot level above 2._x000D_
</t>
  </si>
  <si>
    <t xml:space="preserve">level 4 - #conjuration Casting Time: #BonusAction Range: 60 feet Components: V, S Duration: #Concentration, up to 1 minute 
You conjure a vine that sprouts from a surface in an unoccupied space that you can see within range. The vine lasts for the duration. Make a melee spell attack against a creature within 30 feet of the vine. On a hit, the target takes 4d8 Bludgeoning damage and is pulled up to 30 feet toward the vine; if the target is Huge or smaller, it has the Grappled condition (escape DC equal to your spell save DC). The vine can grapple only one creature at a time, and you can cause the vine to release a Grappled creature (no action required). 
As a Bonus Action on your later turns, you can repeat the attack against a creature within 30 feet of the vine. 
Using a Higher-Level Spell Slot. The number of creatures the vine can grapple increases by one for each spell slot level above 4._x000D_
</t>
  </si>
  <si>
    <t xml:space="preserve">level 1 - #conjuration Casting Time: #BonusAction, which you take immediately after hitting a creature with a Ranged weapon Range: Self Components: V Duration: Instantaneous 
As you hit the creature, this spell creates a rain of thorns that sprouts from your Ranged weapon or ammunition. The target of the attack and each creature within 5 feet of it make a Dexterity saving throw, taking 1d10 Piercing damage on a failed save or half as much damage on a successful one. 
Using a Higher-Level Spell Slot. The damage increases by 1d10 for each spell slot level above 1._x000D_
</t>
  </si>
  <si>
    <t xml:space="preserve">level 1 - #abjuration Casting Time: #BonusAction Range: 60 feet Components: V Duration: Instantaneous 
A creature of your choice that you can see within range regains Hit Points equal to 2d4 plus your spellcasting ability modifier. 
Using a Higher-Level Spell Slot. The healing increases by 2d4 for each spell slot level above 1._x000D_
</t>
  </si>
  <si>
    <t xml:space="preserve">level 1 - #enchantment Casting Time: #BonusAction Range: 90 feet Components: V, S, M (the petrified eye of a newt) Duration: #Concentration, up to 1 hour 
You place a curse on a creature that you can see within range. Until the spell ends, you deal an extra 1d6 Necrotic damage to the target whenever you hit it with an attack roll. Also, choose one ability when you cast the spell. The target has Disadvantage on ability checks made with the chosen ability. 
If the target drops to 0 Hit Points before this spell ends, you can use a Bonus Action on a later turn to curse a new creature. 
Using a Higher-Level Spell Slot. Your #Concentration can last longer with a spell slot of level 2 (up to 4 hours), 3-4 (up to 8 hours), or 5+ (up to 24 hours)._x000D_
</t>
  </si>
  <si>
    <t xml:space="preserve">level 1 - #divination Casting Time: #BonusAction Range: 90 feet Components: V Duration: #Concentration, up to 1 hour 
You magically mark one creature you can see within range as your quarry. Until the spell ends, you deal an extra 1d6 Force damage to the target whenever you hit it with an attack roll. You also have Advantage on any Wisdom (Perception or Survival) check you make to find it. 
If the target drops to 0 Hit Points before this spell ends, you can use a Bonus Action to mark a new creature you can see within range. 
Using a Higher-Level Spell Slot. Your #Concentration can last longer with a spell slot of level 3-4 (up to 8 hours) or 5+ (up to 24 hours)._x000D_
</t>
  </si>
  <si>
    <t xml:space="preserve">level 1 - #transmutation Casting Time: #BonusAction Range: Touch Components: V, S, M (a grasshopper's hind leg) Duration: 1 minute 
You touch a willing creature. Once on each of its turns until the spell ends, that creature can jump up to 30 feet by spending 10 feet of movement. 
Using a Higher-Level Spell Slot. You can target one additional creature for each spell slot level above 1_x000D_
</t>
  </si>
  <si>
    <t xml:space="preserve">level 2 - #abjuration Casting Time: #BonusAction Range: Touch Components: V, S Duration: Instantaneous 
You touch a creature and end one condition on it: Blinded, Deafened, Paralyzed, or Poisoned_x000D_
</t>
  </si>
  <si>
    <t xml:space="preserve">level 3 - #transmutation Casting Time: #BonusAction, which you can take immediately after hitting or missing a target with a ranged attack using a weapon Range: Self Components: V, S Duration: Instantaneous 
As your attack hits or misses the target, the weapon or ammunition you're using transforms into a lightning bolt. Instead of taking any damage or other effects from the attack, the target takes 4d8 Lightning damage on a hit or half as much damage on a miss. Each creature within 10 feet of the target then makes a Dexterity saving throw, taking 2d8 Lightning damage on a failed save or half as much damage on a successful one. 
The weapon or ammunition then returns to its normal form. 
Using a Higher-Level Spell Slot. The damage for both effects of the spell increases by 1d8 for each spell slot level above 3_x000D_
</t>
  </si>
  <si>
    <t xml:space="preserve">level 2 - #transmutation Casting Time: #BonusAction Range: Touch Components: V, S Duration: 1 hour 
You touch a nonmagical weapon. Until the spell ends, that weapon becomes a magic weapon with a +1 bonus to attack rolls and damage rolls. The spell ends early if you cast it again. 
Using a Higher-Level Spell Slot. The bonus increases to +2 with a level 3â€“5 spell slot. The bonus increases to +3 with a level 6+ spell slot._x000D_
</t>
  </si>
  <si>
    <t xml:space="preserve">level 3 - #abjuration Casting Time: #BonusAction Range: 60 feet Components: V Duration: Instantaneous 
Up to six creatures of your choice that you can see within range regain Hit Points equal to 2d4 plus your spellcasting ability modifier. 
Using a Higher-Level Spell Slot. The healing increases by 1d4 for each spell slot level above 3._x000D_
</t>
  </si>
  <si>
    <t xml:space="preserve">Level 2 - #conjuration Casting Time: #BonusAction Range: Self Components: V Duration: Instantaneous 
Briefly surrounded by silvery mist, you teleport up to 30 feet to an unoccupied space you can see._x000D_
</t>
  </si>
  <si>
    <t xml:space="preserve">level 0 - #conjuration Casting Time: #BonusAction Range: Self Components: V, S Duration: 10 minutes 
A flickering flame appears in your hand and remains there for the duration. While there, the flame emits no heat and ignites nothing, and it sheds Bright Light in a 20-foot radius and Dim Light for an additional 20 feet. The spell ends if you cast it again. 
Until the spell ends, you can take a Magic action to hurl fire at a creature or an object within 60 feet of you. Make a ranged spell attack. On a hit, the target takes 1d8 Fire damage. 
Cantrip Upgrade. The damage increases by 1d8 when you reach levels 5 (2d8), 11 (3d8), and 17 (4d8)._x000D_
</t>
  </si>
  <si>
    <t xml:space="preserve">level 1 - #abjuration Casting Time: #BonusAction Range: 30 feet Components: V, S, M (a shard of glass from a mirror) Duration: 1 minute 
You ward a creature within range. Until the spell ends, any creature who targets the warded creature with an attack roll or a damaging spell must succeed on a Wisdom saving throw or either choose a new target or lose the attack or spell. This spell doesn't protect the warded creature from areas of effect. 
The spell ends if the warded creature makes an attack roll, casts a spell, or deals damage_x000D_
</t>
  </si>
  <si>
    <t xml:space="preserve">level 1 - #evocation Casting Time: #BonusAction, which you take immediately after hitting a target with a Melee weapon or an Unarmed Strike Range: Self Components: V Duration: 1 minute 
As you hit the target, it takes an extra 1d6 Fire damage from the attack. At the start of each of its turns until the spell ends, the target takes 1d6 Fire damage and then makes a Constitution saving throw. On a failed save, the spell continues. On a successful save, the spell ends. 
Using a Higher-Level Spell Slot. All the damage increases by 1d6 for each spell slot level above 1_x000D_
</t>
  </si>
  <si>
    <t xml:space="preserve">level 1 - #abjuration Casting Time: #BonusAction Range: 60 feet Components: V, S, M (a prayer scroll) Duration: #Concentration, up to 10 minutes 
A shimmering field surrounds a creature of your choice within range, granting it a +2 bonus to AC for the duration_x000D_
</t>
  </si>
  <si>
    <t xml:space="preserve">level 0 - #transmutation Casting Time: #BonusAction Range: Self Components: V, S, M (mistletoe) Duration: 1 minute 
A Club or Quarterstaff you are holding is imbued with nature's power. For the duration, you can use your spellcasting ability instead of Strength for the attack and damage rolls of melee attacks using that weapon, and the weapon's damage die becomes a d8. If the attack deals damage, it can be Force damage or the weapon's normal damage type (your choice).
The spell ends early if you cast it again or if you let go of the weapon. 
Cantrip Upgrade. The weapon's damage die changes when you reach levels 5 (d10), 11 (d12), and 17 (2d6)_x000D_
</t>
  </si>
  <si>
    <t xml:space="preserve">level 2 - #evocation Casting Time: #BonusAction Range: 60 feet Components: V, S Duration: #Concentration, up to 1 minute 
You create a floating, spectral force that resembles a weapon of your choice and lasts for the duration. 
The force appears within range in a space of your choice, and you can immediately make one melee spell attack against one creature within 5 feet of the force. On a hit, the target takes Force damage equal to 1d8 plus your spellcasting ability modifier. 
As a Bonus Action on your later turns, you can move the force up to 20 feet and repeat the attack against a creature within 5 feet of it. 
Using a Higher-Level Spell Slot. The damage increases by 1d8 for every slot level above 2._x000D_
</t>
  </si>
  <si>
    <t xml:space="preserve">level 5 - #transmutation Casting Time: #BonusAction Range: Self Components: V, S, M (a Quiver worth 1+ GP) Duration: #Concentration, up to 1 minute 
Description not available (not OGL)_x000D_
</t>
  </si>
  <si>
    <t xml:space="preserve">level 3 - #abjuration Casting Time: #Reaction, which you take when you see a creature within 60 feet of yourself casting a spell with Verbal, Somatic, or Material components Range: 60 feet Components: S Duration: Instantaneous 
You attempt to interrupt a creature in the process of casting a spell. The creature must make a Constitution saving throw. On a failed save, the spell dissipates with no effect, and the action, Bonus Action, or Reaction used to cast it is wasted. If that spell was cast with a spell slot, the slot isn't expended_x000D_
</t>
  </si>
  <si>
    <t xml:space="preserve">level 1 - #transmutation Casting Time: #Reaction, which you take when you or a creature you can see within 60 feet of you falls Range: 60 feet Components: V, M (a small feather or piece of down) Duration: 1 minute 
Choose up to five falling creatures within range. A falling creature's rate of descent slows to 60 feet per round until the spell ends. If a creature lands before the spell ends, the creature takes no damage from the fall, and the spell ends for that creature._x000D_
</t>
  </si>
  <si>
    <t xml:space="preserve">level 0 - #evocation Casting Time: Action Range: 60 feet Components: V, S Duration: Instantaneous
You create an acidic bubble at a point within range, where it explodes in a 5-foot-radius Sphere. Each creature in that Sphere must succeed on a Dexterity saving throw or take 1d6 Acid damage. 
Cantrip Upgrade. The damage increases by 1d6 when you reach levels 5 (2d6), 11 (3d6), and 17 (4d6)
</t>
  </si>
  <si>
    <t xml:space="preserve">level 2 - #abjuration Casting Time: Action Range: 30 feet Components: V, S, M (a strip of white cloth) Duration: 8 hours 
Choose up to three creatures within range. Each target's Hit Point maximum and current Hit Points increase by 5 for the duration. 
Using a Higher-Level Spell Slot. Each target's Hit Points increase by 5 for each spell slot level above 2.
</t>
  </si>
  <si>
    <t xml:space="preserve">level 2 - #transmutation Casting Time: Action Range: Self Components: V, S Duration: #Concentration, up to 1 hour 
You alter your physical form. Choose one of the following options. Its effects last for the duration, during which you can take a Magic action to replace the option you chose with a different one. 
**Aquatic Adaptation.** You sprout gills and grow webs between your fingers. You can breathe underwater and gain a Swim Speed equal to your Speed. 
**Change Appearance.** You alter your appearance. You decide what you look like, including your height, weight, facial features, sound of your voice, hair length, coloration, and other distinguishing characteristics. You can make yourself appear as a member of another species, though none of your statistics change. You can't appear as a creature of a different size, and your basic shape stays the same; if you're bipedal, you can't use this spell to become quadrupedal, for instance. For the duration, you can take a Magic action to change your appearance in this way again. 
**Natural Weapons.** You grow claws (Slashing), fangs (Piercing), horns (Piercing), or hooves (Bludgeoning). When you use your Unarmed Strike to deal damage with that new growth, it deals 1d6 damage of the type in parentheses instead of dealing the normal damage for your Unarmed Strike, and you use your spellcasting ability modifier for the attack and damage rolls rather than using Strength
</t>
  </si>
  <si>
    <t xml:space="preserve">level 2 - #enchantment ( #ritual ) Casting Time: Action or Ritual Range: 30 feet Components: V, S, M (a morsel of food) Duration: 24 hours
A Tiny Beast of your choice that you can see within range must succeed on a Charisma saving throw, or it attempts to deliver a message for you (if the target's Challenge Rating isn't 0, it automatically succeeds). You specify a location you have visited and a recipient who matches a general description, such as "a person dressed in the uniform of the town guard" or "a red-haired dwarf wearing a pointed hat." You also communicate a message of up to twenty-five words. The Beast travels for the duration toward the specified location, covering about 25 miles per 24 hours or 50 miles if the Beast can fly. When the Beast arrives, it delivers your message to the creature that you described, mimicking your communication. If the Beast doesn't reach its destination before the spell ends, the message is lost, and the Beast returns to where you cast the spell. 
Using a Higher-Level Spell Slot. The spell's duration increases by 48 hours for each spell slot level above 2.
</t>
  </si>
  <si>
    <t xml:space="preserve">level 8 - #transmutation Casting Time: Action Range: 30 feet Components: V, S Duration: 24 hours 
Choose any number of willing creatures that you can see within range. Each target shape-shifts into a Large or smaller Beast of your choice that has a Challenge Rating of 4 or lower. You can choose a different form for each target. On later turns, you can take a Magic action to transform the targets again. A target's game statistics are replaced by the chosen Beast's statistics, but the target retains its creature type; Hit Points; Hit Point Dice; alignment; ability to communicate; and Intelligence, Wisdom, and Charisma scores. The target's actions are limited by the Beast form's anatomy, and it can't cast spells. The target's equipment melds into the new form, and the target can't use any of that equipment while in that form. 
The target gains a number of Temporary Hit Points equal to the Beast form's Hit Points. The transformation lasts for the duration for each target, until the target has no Temporary Hit Points, or until the target leaves the form as a Bonus Action.
</t>
  </si>
  <si>
    <t xml:space="preserve">level 3 - #necromancy Casting Time: 1 minute Range: 10 feet Components: V, S, M (a drop of blood, a piece of flesh, and a pinch of bone dust) Duration: Instantaneous 
Choose a pile of bones or a corpse of a Medium or Small Humanoid within range. The target becomes an Undead creature: a Skeleton if you chose bones or a Zombie if you chose a corpse. On each of your turns, you can take a Bonus Action to mentally command any creature you made with this spell if the creature is within 60 feet of you (if you control multiple creatures, you can command any of them at the same time, issuing the same command to each one). You decide what action the creature will take and where it will move on its next turn, or you can issue a general command, such as to guard a chamber or corridor. If you issue no commands, the creature takes the Dodge action and moves only to avoid harm. Once given an order, the creature continues to follow it until its task is complete. 
The creature is under your control for 24 hours, after which it stops obeying any command you've given it. To maintain control of the creature for another 24 hours, you must cast this spell on the creature again before the current 24-hour period ends. This use of the spell reasserts your control over up to four creatures you have animated with this spell rather than animating a new creature. 
Using a Higher-Level Spell Slot. You animate or reassert control over two additional Undead creatures for each spell slot level above 3. Each of the creatures must come from a different corpse or pile of bones.
</t>
  </si>
  <si>
    <t xml:space="preserve">level 5 - #transmutation Casting Time: Action Range: 120 feet Components: V, S Duration: #Concentration, up to 1 minute 
Objects animate at your command. Choose a number of nonmagical objects within range that aren't being worn or carried, aren't fixed to a surface, and aren't Gargantuan. The maximum number of objects is equal to your spellcasting ability modifier; for this number, a Medium or smaller target counts as one object, a Large target counts as two, and a Huge target counts as three. Each target animates, sprouts legs, and becomes a Construct that uses the Animated Object stat block; this creature is under your control until the spell ends or until it is reduced to 0 Hit Points. Each creature you make with this spell is an ally to you and your allies. In combat, it shares your Initiative count and takes its turn immediately after yours. 
Until the spell ends, you can take a Bonus Action to mentally command any creature you made with this spell if the creature is within 500 feet of you (if you control multiple creatures, you can command any of them at the same time, issuing the same command to each one). If you issue no commands, the creature takes the Dodge action and moves only to avoid harm. When the creature drops to 0 Hit Points, it reverts to its object form, and any remaining damage carries over to that form. 
Using a Higher-Level Spell Slot. The creature's Slam damage increases by 1d4 (Medium or smaller), 1d6 (Large), or 1d12 (Huge) for each spell slot level above 5.
</t>
  </si>
  <si>
    <t xml:space="preserve">level 5 - #abjuration Casting Time: Action Range: Self Components: V, S Duration: #Concentration, up to 1 hour 
An aura extends from you in a 10-foot Emanation for the duration. The aura prevents creatures other than Constructs and Undead from passing or reaching through it. An affected creature can cast spells or make attacks with Ranged or Reach weapons through the barrier.
If you move so that an affected creature is forced to pass through the barrier, the spell ends.
</t>
  </si>
  <si>
    <t xml:space="preserve">level 8 - #abjuration Casting Time: Action Range: Self Components: V, S, M (iron filings) Duration: #Concentration, up to 1 hour 
An aura of antimagic surrounds you in 10-foot Emanation. No one can cast spells, take Magic actions, or create other magical effects inside the aura, and those things can't target or otherwise affect anything inside it. 
Magical properties of magic items don't work inside the aura or on anything inside it. Areas of effect created by spells or other magic can't extend into the aura, and no one can teleport into or out of it or use planar travel there. Portals close temporarily while in the aura. 
Ongoing spells, except those cast by an Artifact or a deity, are suppressed in the area. While an effect is suppressed, it doesn't function, but the time it spends suppressed counts against its duration. 
Dispel Magic has no effect on the aura, and the auras created by different Antimagic Field spells don't nullify each other.
</t>
  </si>
  <si>
    <t xml:space="preserve">level 8 - #enchantment Casting Time: 1 hour Range: 60 feet Components: V, S, M (a mix of vinegar and honey) Duration: 10 days 
As you cast the spell, choose whether it creates antipathy or sympathy, and target one creature or object that is Huge or smaller. Then specify a kind of creature, such as red dragons, goblins, or vampires. A creature of the chosen kind makes a Wisdom saving throw when it comes within 120 feet of the target. Your choice of antipathy or sympathy determines what happens to a creature when it fails that save: 
**Antipathy.** The creature has the Frightened condition. The Frightened creature must use its movement on its turns to get as far away as possible from the target, moving by the safest route. 
**Sympathy.** The creature has the Charmed condition. The Charmed creature must use its movement on its turns to get as close as possible to the target, moving by the safest route. If the creature is within 5 feet of the target, the creature can't willingly move away. If the target damages the Charmed creature, that creature can make a Wisdom saving throw to end the effect, as described below. 
**Ending the Effect.** If the Frightened or Charmed creature ends its turn more than 120 feet away from the target, the creature makes a Wisdom saving throw. On a successful save, the creature is no longer affected by the target. A creature that successfully saves against this effect is immune to it for 1 minute, after which it can be affected again.
</t>
  </si>
  <si>
    <t xml:space="preserve">level 4 - #divination Casting Time: Action Range: 30 feet Components: V, S, M (a bit of bat fur) Duration: #Concentration, up to 1 hour 
You create an Invisible, invulnerable eye within range that hovers for the duration. You mentally receive visual information from the eye, which can see in every direction. It also has Darkvision with a range of 30 feet. 
As a Bonus Action, you can move the eye up to 30 feet in any direction. A solid barrier blocks the eye's movement, but the eye can pass through an opening as small as 1 inch in diameter.
</t>
  </si>
  <si>
    <t xml:space="preserve">level 2 - #abjuration Casting Time: #BonusAction Range: Self Components: V, S Duration: Instantaneous 
You tap into your life force to heal yourself. Roll one or two of your unexpended Hit Point Dice, and regain a number of Hit Points equal to the roll's total plus your spellcasting ability modifier. Those dice are then expended. 
Using a Higher-Level Spell Slot. The number of unexpended Hit Dice you can roll increases by one for each spell slot level above 2.
</t>
  </si>
  <si>
    <t xml:space="preserve">level 1 - #abjuration Casting Time: #BonusAction Range: Self Components: V, S, M (a shard of blue glass) Duration: 1 hour 
Protective magical frost surrounds you. You gain 5 Temporary Hit Points. If a creature hits you with a melee attack roll before the spell ends, the creature takes 5 Cold damage. The spell ends early if you have no Temporary Hit Points. 
Using a Higher-Level Spell Slot. The Temporary Hit Points and the Cold damage both increase by 5 for cach spell slot level above 1.
</t>
  </si>
  <si>
    <t xml:space="preserve">level 1 - #conjuration Casting Time: Action Range: Self Components: V, S Duration: Instantaneous 
Invoking Hadar, you cause tendrils to erupt from yourself. Each creature in a 10-foot Emanation originating from you makes a Strength saving throw. On a failed save, a target takes 2d6 Necrotic damage and can't take Reactions until the start of its next turn. On a successful save, a target takes half as much damage only. 
Using a Higher-Level Spell Slot. The damage increases by 1d6 for each spell slot level above 1
</t>
  </si>
  <si>
    <t xml:space="preserve">level 9 - #necromancy Casting Time: 1 hour Range: 10 feet Components: V, S, M (for each of the spell's targes, one jacinth worth 1,000+ GP, all of which the spell consumes) Duration: Until dispelled 
You and up to eight willing creatures within range project your astral bodies into the Astral Plane (the spell ends instantly if you are already on that plane). Each target's body is left behind in a state of suspended animation; it has the Unconscious condition, doesn't need food or air, and doesn't age. 
A target's astral form resembles its body in almost every way, replicating its game statistics and possessions. The principal difference is the addition of a silvery cord that trails from between the shoulder blades of the astral form. The cord fades from view after 1 foot. If the cord is cutâ€”which happens only when an effect states that it does soâ€”the target's body and astral form both die. A target's astral form can travel through the Astral Plane. The moment an astral form leaves that plane, the target's body and possessions travel along the silver cord, causing the target to re- #enter its body on the new plane. 
Any damage or other effects that apply to an astral form have no effect on the target's body and vice versa. If a target's body or astral form drops to 0 Hit Points, the spell ends for that target. The spell ends for all the targets if you take a Magic action to dismiss it. When the spell ends for a target who isn't dead, the target reappears in its body and exits the state of suspended animation.
</t>
  </si>
  <si>
    <t xml:space="preserve">level 2 - #divination ( #ritual ) Casting Time: 1 minute or Ritual Range: Self Components: V, S, M (special marked sticks, bones, cards, or other divinatory tokens worth 25+ GP) Duration: Instantaneous
You receive an omen from an otherworldly entity about the results of a course of action that you plan to take within the next 30 minutes. The DM chooses the omen from the Omens table. 
| **Omen**     | **For Results That Will Be...** |
| ------------ | ------------------------------- |
|              |                                 |
| Weal         | Good                            |
| Woe          | Bad                             |
| Weal and woe | Good and bad                    |
| Indifference | Neither good nor bad            |
The spell doesn't account for circumstances, such as other spells, that might change the results. If you cast the spell more than once before finishing a Long Rest, there is a cumulative 25 percent chance for each casting after the first that you get no answer.
</t>
  </si>
  <si>
    <t xml:space="preserve">level 4 - #abjuration Casting Time: Action Range: Self Components: V Duration: #Concentration, up to 10 minutes 
An aura radiates from you in a 30-foot Emanation for the duration. While in the aura, you and your allies have Resistance to Necrotic damage, and your Hit Point maximums can't be reduced. If an ally with 0 Hit Points starts its turn in the aura, that ally regains 1 Hit Point.
</t>
  </si>
  <si>
    <t xml:space="preserve">level 4 - #abjuration Casting Time: Action Range: Self Components: V Duration: #Concentration, up to 10 minutes 
An aura radiates from you in a 30-foot Emanation for the duration. While in the aura, you and your allies have Resistance to Poison damage and Advantage on saving throws to avoid or end effects that include the Blinded, Charmed, Deafened, Frightened, Paralyzed, Poisoned, or Stunned condition.
</t>
  </si>
  <si>
    <t xml:space="preserve">level 3 - #abjuration Casting Time: Action Range: Self Components: V Duration: #Concentration, up to 1 minute 
An aura radiates from you in a 30-foot Emanation for the duration. When you create the aura and at the start of each of your turns while it persists, you can restore 2d6 Hit Points to one creature in it.
</t>
  </si>
  <si>
    <t xml:space="preserve">level 5 - #transmutation Casting Time: 8 hours Range: Touch Components: V, S, M (an agate worth 1,000+ GP, which the spell consumes) Duration: Instantaneous 
You spend the casting time tracing magical pathways within a precious gemstone, and then touch the target. The target must be either a Beast or Plant creature with an Intelligence of 3 or less or a natural plant that isn't a creature. The target gains an Intelligence of 10 and the ability to speak one language you know. If the target is a natural plant, it becomes a Plant creature and gains the ability to move its limbs, roots, vines, creepers, and so forth, and it gains senses similar to a human's. The DM chooses statistics appropriate for the awakened Plant, such as the statistics for the Awakened Shrub or Awakened Tree in the Monster Manual. 
The awakened target has the Charmed condition for 30 days or until you or your allies deal damage to it. When that condition ends, the awakened creature chooses its attitude toward you.
</t>
  </si>
  <si>
    <t xml:space="preserve">level 1 - #enchantment Casting Time: Action Range: 30 feet Components: V, S, M (a drop of blood) Duration: #Concentration, up to 1 minute 
Up to three creatures of your choice that you can see within range must each make a Charisma saving throw. Whenever a target that fails this save makes an attack roll or a saving throw before the spell ends, the target must subtract 1d4 from the attack roll or save. 
Using a Higher-Level Spell Slot. You can target one additional creature for each spell slot level above 1.
</t>
  </si>
  <si>
    <t xml:space="preserve">level 5 - #conjuration Casting Time: #BonusAction, which you take immediately after hitting a creature with a Melee weapon or an Unarmed Strike Range: Self Components: V Duration: #Concentration, up to 1 minute
The target hit by the attack roll takes an extra 5d10 Force damage from the attack. If the attack reduces the target to 50 Hit Points or fewer, the target must succeed on a Charisma saving throw or be transported to a harmless demiplane for the duration. While there, the target has the Incapacitated condition. When the spell ends, the target reappears in the space it left or in the nearest unoccupied space if that space is occupied.
</t>
  </si>
  <si>
    <t xml:space="preserve">level 4 - #abjuration Casting Time: Action Range: 30 feet Components: V, S, M (a pentacle) Duration: #Concentration, up to 1 minute 
One creature that you can see within range must succeed on a Charisma saving throw or be transported to a harmless demiplane for the duration. While there, the target has the Incapacitated condition. When the spell ends, the target reappears in the space it left or in the nearest unoccupied space if that space is occupied. If the target is an Aberration, a Celestial, an Elemental, a Fey, or a Fiend, the target doesn't return if the spell lasts for 1 minute. The target is instead transported to a random location on a plane (DM's choice) associated with its creature type. 
Using a Higher-Level Spell Slot. You can target one additional creature for each spell slot level above 4
</t>
  </si>
  <si>
    <t xml:space="preserve">level 2 - #transmutation Casting Time: #BonusAction Range: Touch Components: V, S, M (a handful of bark) Duration: 1 hour 
You touch a willing creature. Until the spell ends, the target's skin assumes a bark-like appearance, and the target has an Armor Class of 17 if its AC is lower than that.
</t>
  </si>
  <si>
    <t xml:space="preserve">level 3 - #abjuration Casting Time: Action Range: 30 feet Components: V, S Duration: #Concentration, up to 1 minute 
Choose any number of creatures within range. For the duration, each target has Advantage on Wisdom saving throws and Death Saving Throws and regains the maximum number of Hit Points possible from any healing
</t>
  </si>
  <si>
    <t xml:space="preserve">level 2 - #divination ( #ritual ) Casting Time: Action or Ritual Range: Touch Components: S Duration: #Concentration, up to 1 hour 
You touch a willing Beast. For the duration, you can perceive through the Beast's senses as well as your own. When perceiving through the Beast's senses, you benefit from any special senses it has
</t>
  </si>
  <si>
    <t xml:space="preserve">level 8 - #enchantment Casting Time: Action Range: 150 feet Components: V, S, M (a key ring with no keys) Duration: Instantaneous
Description not available (not OGL)
</t>
  </si>
  <si>
    <t xml:space="preserve">level 1 - #illusion Casting Time: Action Range: Self Components: V, S, M (a pinch of colorful sand) Duration: Instantaneous 
You launch a dazzling array of flashing, colorful light. Each creature in a 15-foot Cone originating from you must succeed on a Constitution saving throw or have the Blinded condition until the end of your next turn.
</t>
  </si>
  <si>
    <t xml:space="preserve">level 1 - #enchantment Casting Time: Action Range: 60 feet Components: V Duration: Instantaneous 
You speak a one-word command to a creature you can see within range. The target must succeed on a Wisdom saving throw or follow the command on its next turn. Choose the command from these options: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has the Prone condition and then ends its turn. 
**Halt.** On its turn, the target doesn't move and takes no action or Bonus Action. 
Using a Higher-Level Spell Slot. You can affect one additional creature for each spell slot level above 1.
</t>
  </si>
  <si>
    <t xml:space="preserve">level 6 - #abjuration Casting Time: 10 minutes Range: Self Components: V, S, M (a gem-incrusted statuette of yourself worth 1,500+ GP) Duration: 10 days 
Choose a spell of level 5 or lower that you can cast, that has a casting time of an action, and that can target you. You cast that spellâ€”called the contingent spellâ€”as part of casting Contingency, expending spell slots for both, but the contingent spell doesn't come into effect. Instead, it takes effect when a certain trigger occurs. You describe that trigger when you cast the two spells. For example, a Contingency cast with Water Breathing might stipulate that Water Breathing comes into effect when you are engulfed in water or a similar liquid. 
The contingent spell takes effect immediately after the trigger occurs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
</t>
  </si>
  <si>
    <t xml:space="preserve">level 0 - #transmutation Casting Time: Action Range: 30 feet Components: V, S Duration: Instantaneous 
**Weather Sensor.** You create a Tiny, harmless sensory effect that predicts what the weather will be at your location for the next 24 hours. The effect might manifest as a golden orb for clear skies, a cloud for rain, falling snowflakes for snow, and so on. This effect persists for 1 round. 
**Bloom.** You instantly make a flower blossom, a seed pod open, or a leaf bud bloom. 
**Sensory Effect.** You create a harmless sensory effect, such as falling leaves, spectral dancing fairies, a gentle breeze, the sound of an animal, or the faint odor of skunk. The effect must fit in a 5-foot Cube. 
**Fire Play.** You light or snuff out a candle, a torch, or a campfire.
</t>
  </si>
  <si>
    <t xml:space="preserve">level 0 - #evocation Casting Time: Action Range: 120 feet Components: V, S Duration: Instantaneous 
You hurl a beam of crackling energy. Make a ranged spell attack against one creature or object in range. On a hit, the target takes 1d10 Force damage. 
**Cantrip Upgrade.** The spell creates two beams at level 5, three beams at level 11, and four beams at level 17. You can direct the beams at the same target or at different ones. Make a separate attack roll for each beam
</t>
  </si>
  <si>
    <t xml:space="preserve">level 2 - #divination Casting Time: Action Range: 120 feet Components: V, S Duration: Instantaneous 
You sense any trap within range that is within line of sight. A trap, for the purpose of this spell, includes any object or mechanism that was created to cause damage or other danger. Thus, the spell would sense the Alarm or Glyph of Warding spell or a mechanical pit trap, but it wouldn't reveal a natural weakness in the floor, an unstable ceiling, or a hidden sinkhole. 
This spell reveals that a trap is present but not its location. You do learn the general nature of the danger posed by a trap you sense.
</t>
  </si>
  <si>
    <t xml:space="preserve">level 6 - #abjuration ( #ritual ) Casting Time: 10 minutes or Ritual Range: Touch Components: V, S, M (ruby dust worth 1,000+ GP) Duration: 1 day 
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the Ethereal Plane, the Feywild, the Shadowfell, or the Plane Shift spell.
In addition, the spell damages types of creatures that you choose when you cast it. Choose one or more of the following: Aberrations, Celestials, Elementals, Fey, Fiends, and Undead. When a creature of a chosen type enters the spell's area for the first time on a turn or ends its turn there, the creature takes 5d10 Radiant or Necrotic damage (your choice when you cast this spell).
You can designate a password when you cast the spell.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
</t>
  </si>
  <si>
    <t xml:space="preserve">level 3 - #conjuration Casting Time: Action Range: 150 feet Components: V, S, M (a pickled tentacle) Duration: #Concentration, up to 1 minute 
You open a gateway to the Far Realm, a region infested with unspeakable horrors. A 20-foot-radius Sphere of Darkness appears, centered on a point with range and lasting for the duration. The Sphere is Difficult Terrain, and it is filled with strange whispers and slurping noises, which can be heard up to 30 feet away. No light, magical or otherwise, can illuminate the area, and creatures fully within it have the Blinded condition. 
Any creature that starts its turn in the area takes 2d6 Cold damage. Any creature that ends its turn there must succeed on a Dexterity saving throw or take 2d6 Acid damage from otherworldly tentacles. 
Using a Higher-Level Spell Slot. The Cold or Acid damage (your choice) increases by 1d6 for each spell slot level above 3.
</t>
  </si>
  <si>
    <t xml:space="preserve">level 1 - #abjuration ( #ritual ) Casting Time: 1 minute or Ritual Range: 30 feet Components: V, S, M (a bell and silver wire) Duration: 8 hours 
 You set an alarm against intrusion. Choose a door, a window, or an area within range that is no larger than a 20-foot Cube. Until the spell ends, an alarm alerts you whenever a creature touches or enters the warded area. When you cast the spell, you can designate creatures that won't set off the alarm. You also choose whether the alarm is audible or mental: 
 Audible Alarm. The alarm produces the sound of a handbell for 10 seconds within 60 feet of the warded area. 
 Mental Alarm. You are alerted by a mental ping if you are within 1 mile of the warded area. This ping awakens you if you're asleep.
</t>
  </si>
  <si>
    <t xml:space="preserve">level 1 - #enchantment Casting Time: Action Range: 30 feet Components: V, S, M (a morsel of food) Duration: 24 hours 
Target a Beast that you can see within range. The target must succeed on a Wisdom saving throw or have the Charmed condition for the duration. If you or one of your allies deals damage to the target, the spells ends. 
Using a Higher-Level Spell Slot. You can target one additional Beast for each spell slot level above 1.
</t>
  </si>
  <si>
    <t xml:space="preserve">level 6 - #conjuration Casting Time: Action Range: 500 feet Components: V, S Duration: #Concentration, up to 10 minutes
Description not available (not OGL).
</t>
  </si>
  <si>
    <t xml:space="preserve">level 2 - #illusion Casting Time: Action Range: Touch Components: V, S, M (an eyelash in gum arabic) Duration: #Concentration, up to 1 hour 
A creature you touch has the Invisible condition until the spell ends. The spell ends early immediately after the target makes an attack roll, deals damage, or casts a spell. 
Using a Higher-Level Spell Slot. You can target one additional creature for each spell slot level above 2
</t>
  </si>
  <si>
    <t xml:space="preserve">level 0 - #necromancy Casting Time: Action Range: Touch Components: V, S Duration: Instantaneous 
 Channeling the chill of the grave, make a melee spell attack against a target within reach. On a hit, the target takes 1d10 Necrotic damage, and it can't regain Hit Points until the end of your next turn. 
 Cantrip Upgrade. The damage increases by 1d10 when you reach levels 5 (2d10), 11 (3d10), and 17 (4d10).
</t>
  </si>
  <si>
    <t>Fire Storm.md</t>
  </si>
  <si>
    <t xml:space="preserve">level 7 - #evocation Casting Time: Action Range: 150 feet Components: V, S Duration: Instantaneous 
A storm of fire appears within range. The area of the storm consists of up to ten 10-foot Cubes, which you arrange as you like. Each Cube must be contiguous with at least one other Cube. Each creature in the area makes a Dexterity saving throw, taking 7d10 Fire damage on a failed save or half as much damage on a successful one. 
Flammable objects in the area that aren't being worn or carried start burning._x000D_
</t>
  </si>
  <si>
    <t>Identify.md</t>
  </si>
  <si>
    <t xml:space="preserve">level 1 - #divination ( #ritual ) Casting Time: 1 minute or Ritual Range: Touch Components: V, S, M (a pearl worth 100+ GP) Duration: Instantaneous 
You touch an object throughout the spell's casting. If the object is a magic item or some other magical object, you learn its properties and how to use them, whether it requires Attunement, and how many charges it has, if any. You learn whether any ongoing spells are affecting the item and what they are. If the item was created by a spell, you learn that spell's name. 
If you instead touch a creature throughout the casting, you learn which ongoing spells, if any, are currently affecting it_x000D_
</t>
  </si>
  <si>
    <t>Illusory Script.md</t>
  </si>
  <si>
    <t xml:space="preserve">level 1 - #illusion ( #ritual ) Casting Time: 1 minute or Ritual Range: Touch Components: S, M (ink worth 10+ GP, which the spell consumes) Duration: 10 days 
You write on parchment, paper, or another suitable material and imbue it with an illusion that lasts for the duration. To you and any creatures you designate when you cast the spell, the writing appears normal, seems to be written in your hand, and conveys whatever meaning you intended when you wrote the text. To all others, the writing appears as if it were written in an unknown or magical script that is unintelligible. Alternatively, the illusion can alter the meaning, handwriting, and language of the text, though the language must be one you know. If the spell is dispelled, the original script and the illusion both disappear. 
A creature that has Truesight can read the hidden message_x000D_
</t>
  </si>
  <si>
    <t>level 7 - #evocation Casting Time: Action Range: 150 feet Components: V, S Duration: Instantaneous 
A storm of fire appears within range. The area of the storm consists of up to ten 10-foot Cubes, which you arrange as you like. Each Cube must be contiguous with at least one other Cube. Each creature in the area makes a Dexterity saving throw, taking 7d10 Fire damage on a failed save or half as much damage on a successful one. 
Flammable objects in the area that aren't being worn or carried start burning._x000D_
#Cleric #Druid #Sorcerer</t>
  </si>
  <si>
    <t>level 1 - #divination ( #ritual ) Casting Time: 1 minute or Ritual Range: Touch Components: V, S, M (a pearl worth 100+ GP) Duration: Instantaneous 
You touch an object throughout the spell's casting. If the object is a magic item or some other magical object, you learn its properties and how to use them, whether it requires Attunement, and how many charges it has, if any. You learn whether any ongoing spells are affecting the item and what they are. If the item was created by a spell, you learn that spell's name. 
If you instead touch a creature throughout the casting, you learn which ongoing spells, if any, are currently affecting it_x000D_
#Bard #Wizard</t>
  </si>
  <si>
    <t>level 1 - #illusion ( #ritual ) Casting Time: 1 minute or Ritual Range: Touch Components: S, M (ink worth 10+ GP, which the spell consumes) Duration: 10 days 
You write on parchment, paper, or another suitable material and imbue it with an illusion that lasts for the duration. To you and any creatures you designate when you cast the spell, the writing appears normal, seems to be written in your hand, and conveys whatever meaning you intended when you wrote the text. To all others, the writing appears as if it were written in an unknown or magical script that is unintelligible. Alternatively, the illusion can alter the meaning, handwriting, and language of the text, though the language must be one you know. If the spell is dispelled, the original script and the illusion both disappear. 
A creature that has Truesight can read the hidden message_x000D_
#Bard #Warlock #Wizard</t>
  </si>
  <si>
    <t>level 0 - #evocation Casting Time: Action Range: 60 feet Components: V, S Duration: Instantaneous
You create an acidic bubble at a point within range, where it explodes in a 5-foot-radius Sphere. Each creature in that Sphere must succeed on a Dexterity saving throw or take 1d6 Acid damage. 
Cantrip Upgrade. The damage increases by 1d6 when you reach levels 5 (2d6), 11 (3d6), and 17 (4d6)
#Sorcerer #Wizard</t>
  </si>
  <si>
    <t>level 2 - #abjuration Casting Time: Action Range: 30 feet Components: V, S, M (a strip of white cloth) Duration: 8 hours 
Choose up to three creatures within range. Each target's Hit Point maximum and current Hit Points increase by 5 for the duration. 
Using a Higher-Level Spell Slot. Each target's Hit Points increase by 5 for each spell slot level above 2.
#Bard #Cleric #Druid #Paladin #Ranger</t>
  </si>
  <si>
    <t>level 1 - #abjuration ( #ritual ) Casting Time: 1 minute or Ritual Range: 30 feet Components: V, S, M (a bell and silver wire) Duration: 8 hours 
 You set an alarm against intrusion. Choose a door, a window, or an area within range that is no larger than a 20-foot Cube. Until the spell ends, an alarm alerts you whenever a creature touches or enters the warded area. When you cast the spell, you can designate creatures that won't set off the alarm. You also choose whether the alarm is audible or mental: 
 Audible Alarm. The alarm produces the sound of a handbell for 10 seconds within 60 feet of the warded area. 
 Mental Alarm. You are alerted by a mental ping if you are within 1 mile of the warded area. This ping awakens you if you're asleep.
#Ranger #Wizard</t>
  </si>
  <si>
    <t>level 2 - #transmutation Casting Time: Action Range: Self Components: V, S Duration: #Concentration, up to 1 hour 
You alter your physical form. Choose one of the following options. Its effects last for the duration, during which you can take a Magic action to replace the option you chose with a different one. 
**Aquatic Adaptation.** You sprout gills and grow webs between your fingers. You can breathe underwater and gain a Swim Speed equal to your Speed. 
**Change Appearance.** You alter your appearance. You decide what you look like, including your height, weight, facial features, sound of your voice, hair length, coloration, and other distinguishing characteristics. You can make yourself appear as a member of another species, though none of your statistics change. You can't appear as a creature of a different size, and your basic shape stays the same; if you're bipedal, you can't use this spell to become quadrupedal, for instance. For the duration, you can take a Magic action to change your appearance in this way again. 
**Natural Weapons.** You grow claws (Slashing), fangs (Piercing), horns (Piercing), or hooves (Bludgeoning). When you use your Unarmed Strike to deal damage with that new growth, it deals 1d6 damage of the type in parentheses instead of dealing the normal damage for your Unarmed Strike, and you use your spellcasting ability modifier for the attack and damage rolls rather than using Strength
#Sorcerer #Wizard</t>
  </si>
  <si>
    <t>level 1 - #enchantment Casting Time: Action Range: 30 feet Components: V, S, M (a morsel of food) Duration: 24 hours 
Target a Beast that you can see within range. The target must succeed on a Wisdom saving throw or have the Charmed condition for the duration. If you or one of your allies deals damage to the target, the spells ends. 
Using a Higher-Level Spell Slot. You can target one additional Beast for each spell slot level above 1.
#Bard #Druid #Ranger</t>
  </si>
  <si>
    <t>level 2 - #enchantment ( #ritual ) Casting Time: Action or Ritual Range: 30 feet Components: V, S, M (a morsel of food) Duration: 24 hours
A Tiny Beast of your choice that you can see within range must succeed on a Charisma saving throw, or it attempts to deliver a message for you (if the target's Challenge Rating isn't 0, it automatically succeeds). You specify a location you have visited and a recipient who matches a general description, such as "a person dressed in the uniform of the town guard" or "a red-haired dwarf wearing a pointed hat." You also communicate a message of up to twenty-five words. The Beast travels for the duration toward the specified location, covering about 25 miles per 24 hours or 50 miles if the Beast can fly. When the Beast arrives, it delivers your message to the creature that you described, mimicking your communication. If the Beast doesn't reach its destination before the spell ends, the message is lost, and the Beast returns to where you cast the spell. 
Using a Higher-Level Spell Slot. The spell's duration increases by 48 hours for each spell slot level above 2.
#Bard #Druid #Ranger</t>
  </si>
  <si>
    <t>level 8 - #transmutation Casting Time: Action Range: 30 feet Components: V, S Duration: 24 hours 
Choose any number of willing creatures that you can see within range. Each target shape-shifts into a Large or smaller Beast of your choice that has a Challenge Rating of 4 or lower. You can choose a different form for each target. On later turns, you can take a Magic action to transform the targets again. A target's game statistics are replaced by the chosen Beast's statistics, but the target retains its creature type; Hit Points; Hit Point Dice; alignment; ability to communicate; and Intelligence, Wisdom, and Charisma scores. The target's actions are limited by the Beast form's anatomy, and it can't cast spells. The target's equipment melds into the new form, and the target can't use any of that equipment while in that form. 
The target gains a number of Temporary Hit Points equal to the Beast form's Hit Points. The transformation lasts for the duration for each target, until the target has no Temporary Hit Points, or until the target leaves the form as a Bonus Action.
#Druid</t>
  </si>
  <si>
    <t>level 3 - #necromancy Casting Time: 1 minute Range: 10 feet Components: V, S, M (a drop of blood, a piece of flesh, and a pinch of bone dust) Duration: Instantaneous 
Choose a pile of bones or a corpse of a Medium or Small Humanoid within range. The target becomes an Undead creature: a Skeleton if you chose bones or a Zombie if you chose a corpse. On each of your turns, you can take a Bonus Action to mentally command any creature you made with this spell if the creature is within 60 feet of you (if you control multiple creatures, you can command any of them at the same time, issuing the same command to each one). You decide what action the creature will take and where it will move on its next turn, or you can issue a general command, such as to guard a chamber or corridor. If you issue no commands, the creature takes the Dodge action and moves only to avoid harm. Once given an order, the creature continues to follow it until its task is complete. 
The creature is under your control for 24 hours, after which it stops obeying any command you've given it. To maintain control of the creature for another 24 hours, you must cast this spell on the creature again before the current 24-hour period ends. This use of the spell reasserts your control over up to four creatures you have animated with this spell rather than animating a new creature. 
Using a Higher-Level Spell Slot. You animate or reassert control over two additional Undead creatures for each spell slot level above 3. Each of the creatures must come from a different corpse or pile of bones.
#Cleric #Wizard</t>
  </si>
  <si>
    <t>level 5 - #transmutation Casting Time: Action Range: 120 feet Components: V, S Duration: #Concentration, up to 1 minute 
Objects animate at your command. Choose a number of nonmagical objects within range that aren't being worn or carried, aren't fixed to a surface, and aren't Gargantuan. The maximum number of objects is equal to your spellcasting ability modifier; for this number, a Medium or smaller target counts as one object, a Large target counts as two, and a Huge target counts as three. Each target animates, sprouts legs, and becomes a Construct that uses the Animated Object stat block; this creature is under your control until the spell ends or until it is reduced to 0 Hit Points. Each creature you make with this spell is an ally to you and your allies. In combat, it shares your Initiative count and takes its turn immediately after yours. 
Until the spell ends, you can take a Bonus Action to mentally command any creature you made with this spell if the creature is within 500 feet of you (if you control multiple creatures, you can command any of them at the same time, issuing the same command to each one). If you issue no commands, the creature takes the Dodge action and moves only to avoid harm. When the creature drops to 0 Hit Points, it reverts to its object form, and any remaining damage carries over to that form. 
Using a Higher-Level Spell Slot. The creature's Slam damage increases by 1d4 (Medium or smaller), 1d6 (Large), or 1d12 (Huge) for each spell slot level above 5.
#Bard #Sorcerer #Wizard</t>
  </si>
  <si>
    <t>level 5 - #abjuration Casting Time: Action Range: Self Components: V, S Duration: #Concentration, up to 1 hour 
An aura extends from you in a 10-foot Emanation for the duration. The aura prevents creatures other than Constructs and Undead from passing or reaching through it. An affected creature can cast spells or make attacks with Ranged or Reach weapons through the barrier.
If you move so that an affected creature is forced to pass through the barrier, the spell ends.
#Druid</t>
  </si>
  <si>
    <t>level 8 - #abjuration Casting Time: Action Range: Self Components: V, S, M (iron filings) Duration: #Concentration, up to 1 hour 
An aura of antimagic surrounds you in 10-foot Emanation. No one can cast spells, take Magic actions, or create other magical effects inside the aura, and those things can't target or otherwise affect anything inside it. 
Magical properties of magic items don't work inside the aura or on anything inside it. Areas of effect created by spells or other magic can't extend into the aura, and no one can teleport into or out of it or use planar travel there. Portals close temporarily while in the aura. 
Ongoing spells, except those cast by an Artifact or a deity, are suppressed in the area. While an effect is suppressed, it doesn't function, but the time it spends suppressed counts against its duration. 
Dispel Magic has no effect on the aura, and the auras created by different Antimagic Field spells don't nullify each other.
#Cleric #Wizard</t>
  </si>
  <si>
    <t xml:space="preserve">level 8 - #enchantment Casting Time: 1 hour Range: 60 feet Components: V, S, M (a mix of vinegar and honey) Duration: 10 days 
As you cast the spell, choose whether it creates antipathy or sympathy, and target one creature or object that is Huge or smaller. Then specify a kind of creature, such as red dragons, goblins, or vampires. A creature of the chosen kind makes a Wisdom saving throw when it comes within 120 feet of the target. Your choice of antipathy or sympathy determines what happens to a creature when it fails that save: 
**Antipathy.** The creature has the Frightened condition. The Frightened creature must use its movement on its turns to get as far away as possible from the target, moving by the safest route. 
**Sympathy.** The creature has the Charmed condition. The Charmed creature must use its movement on its turns to get as close as possible to the target, moving by the safest route. If the creature is within 5 feet of the target, the creature can't willingly move away. If the target damages the Charmed creature, that creature can make a Wisdom saving throw to end the effect, as described below. 
**Ending the Effect.** If the Frightened or Charmed creature ends its turn more than 120 feet away from the target, the creature makes a Wisdom saving throw. On a successful save, the creature is no longer affected by the target. A creature that successfully saves against this effect is immune to it for 1 minute, after which it can be affected again.
</t>
  </si>
  <si>
    <t>level 4 - #divination Casting Time: Action Range: 30 feet Components: V, S, M (a bit of bat fur) Duration: #Concentration, up to 1 hour 
You create an Invisible, invulnerable eye within range that hovers for the duration. You mentally receive visual information from the eye, which can see in every direction. It also has Darkvision with a range of 30 feet. 
As a Bonus Action, you can move the eye up to 30 feet in any direction. A solid barrier blocks the eye's movement, but the eye can pass through an opening as small as 1 inch in diameter.
#Wizard</t>
  </si>
  <si>
    <t>level 6 - #conjuration Casting Time: Action Range: 500 feet Components: V, S Duration: #Concentration, up to 10 minutes
Description not available (not OGL).
#Sorcerer #Warlock #Wizard</t>
  </si>
  <si>
    <t>level 2 - #abjuration Casting Time: Action Range: Touch Components: V, S, M (gold dust worth 25+ GP, which the spell consumes) Duration: Until dispelled 
You touch a closed door, window, gate, container, or hatch and magically lock it for the duration. This lock can't be unlocked by any nonmagical means. You and any creatures you designate when you cast the spell can open and close the object despite the lock. You can also set a password that, when spoken within 5 feet of the object, unlocks it for 1 minute_x000D_
#Wizard</t>
  </si>
  <si>
    <t>level 2 - #abjuration Casting Time: #BonusAction Range: Self Components: V, S Duration: Instantaneous 
You tap into your life force to heal yourself. Roll one or two of your unexpended Hit Point Dice, and regain a number of Hit Points equal to the roll's total plus your spellcasting ability modifier. Those dice are then expended. 
Using a Higher-Level Spell Slot. The number of unexpended Hit Dice you can roll increases by one for each spell slot level above 2.
#Sorcerer #Wizard</t>
  </si>
  <si>
    <t>level 1 - #abjuration Casting Time: #BonusAction Range: Self Components: V, S, M (a shard of blue glass) Duration: 1 hour 
Protective magical frost surrounds you. You gain 5 Temporary Hit Points. If a creature hits you with a melee attack roll before the spell ends, the creature takes 5 Cold damage. The spell ends early if you have no Temporary Hit Points. 
Using a Higher-Level Spell Slot. The Temporary Hit Points and the Cold damage both increase by 5 for cach spell slot level above 1.
#Warlock</t>
  </si>
  <si>
    <t>level 1 - #conjuration Casting Time: Action Range: Self Components: V, S Duration: Instantaneous 
Invoking Hadar, you cause tendrils to erupt from yourself. Each creature in a 10-foot Emanation originating from you makes a Strength saving throw. On a failed save, a target takes 2d6 Necrotic damage and can't take Reactions until the start of its next turn. On a successful save, a target takes half as much damage only. 
Using a Higher-Level Spell Slot. The damage increases by 1d6 for each spell slot level above 1
#Warlock</t>
  </si>
  <si>
    <t>level 9 - #necromancy Casting Time: 1 hour Range: 10 feet Components: V, S, M (for each of the spell's targes, one jacinth worth 1,000+ GP, all of which the spell consumes) Duration: Until dispelled 
You and up to eight willing creatures within range project your astral bodies into the Astral Plane (the spell ends instantly if you are already on that plane). Each target's body is left behind in a state of suspended animation; it has the Unconscious condition, doesn't need food or air, and doesn't age. 
A target's astral form resembles its body in almost every way, replicating its game statistics and possessions. The principal difference is the addition of a silvery cord that trails from between the shoulder blades of the astral form. The cord fades from view after 1 foot. If the cord is cutâ€”which happens only when an effect states that it does soâ€”the target's body and astral form both die. A target's astral form can travel through the Astral Plane. The moment an astral form leaves that plane, the target's body and possessions travel along the silver cord, causing the target to re- #enter its body on the new plane. 
Any damage or other effects that apply to an astral form have no effect on the target's body and vice versa. If a target's body or astral form drops to 0 Hit Points, the spell ends for that target. The spell ends for all the targets if you take a Magic action to dismiss it. When the spell ends for a target who isn't dead, the target reappears in its body and exits the state of suspended animation.
#Cleric #Warlock #Wizard</t>
  </si>
  <si>
    <t>level 2 - #divination ( #ritual ) Casting Time: 1 minute or Ritual Range: Self Components: V, S, M (special marked sticks, bones, cards, or other divinatory tokens worth 25+ GP) Duration: Instantaneous
You receive an omen from an otherworldly entity about the results of a course of action that you plan to take within the next 30 minutes. The DM chooses the omen from the Omens table. 
| **Omen**     | **For Results That Will Be...** |
| ------------ | ------------------------------- |
|              |                                 |
| Weal         | Good                            |
| Woe          | Bad                             |
| Weal and woe | Good and bad                    |
| Indifference | Neither good nor bad            |
The spell doesn't account for circumstances, such as other spells, that might change the results. If you cast the spell more than once before finishing a Long Rest, there is a cumulative 25 percent chance for each casting after the first that you get no answer.
#Cleric #Druid #Wizard</t>
  </si>
  <si>
    <t>level 4 - #abjuration Casting Time: Action Range: Self Components: V Duration: #Concentration, up to 10 minutes 
An aura radiates from you in a 30-foot Emanation for the duration. While in the aura, you and your allies have Resistance to Necrotic damage, and your Hit Point maximums can't be reduced. If an ally with 0 Hit Points starts its turn in the aura, that ally regains 1 Hit Point.
#Cleric #Paladin</t>
  </si>
  <si>
    <t>level 4 - #abjuration Casting Time: Action Range: Self Components: V Duration: #Concentration, up to 10 minutes 
An aura radiates from you in a 30-foot Emanation for the duration. While in the aura, you and your allies have Resistance to Poison damage and Advantage on saving throws to avoid or end effects that include the Blinded, Charmed, Deafened, Frightened, Paralyzed, Poisoned, or Stunned condition.
#Cleric #Paladin</t>
  </si>
  <si>
    <t>level 3 - #abjuration Casting Time: Action Range: Self Components: V Duration: #Concentration, up to 1 minute 
An aura radiates from you in a 30-foot Emanation for the duration. When you create the aura and at the start of each of your turns while it persists, you can restore 2d6 Hit Points to one creature in it.
#Cleric #Druid #Paladin</t>
  </si>
  <si>
    <t>level 5 - #transmutation Casting Time: 8 hours Range: Touch Components: V, S, M (an agate worth 1,000+ GP, which the spell consumes) Duration: Instantaneous 
You spend the casting time tracing magical pathways within a precious gemstone, and then touch the target. The target must be either a Beast or Plant creature with an Intelligence of 3 or less or a natural plant that isn't a creature. The target gains an Intelligence of 10 and the ability to speak one language you know. If the target is a natural plant, it becomes a Plant creature and gains the ability to move its limbs, roots, vines, creepers, and so forth, and it gains senses similar to a human's. The DM chooses statistics appropriate for the awakened Plant, such as the statistics for the Awakened Shrub or Awakened Tree in the Monster Manual. 
The awakened target has the Charmed condition for 30 days or until you or your allies deal damage to it. When that condition ends, the awakened creature chooses its attitude toward you.
#Bard #Druid</t>
  </si>
  <si>
    <t>level 1 - #enchantment Casting Time: Action Range: 30 feet Components: V, S, M (a drop of blood) Duration: #Concentration, up to 1 minute 
Up to three creatures of your choice that you can see within range must each make a Charisma saving throw. Whenever a target that fails this save makes an attack roll or a saving throw before the spell ends, the target must subtract 1d4 from the attack roll or save. 
Using a Higher-Level Spell Slot. You can target one additional creature for each spell slot level above 1.
#Bard #Cleric #Warlock</t>
  </si>
  <si>
    <t>level 5 - #conjuration Casting Time: #BonusAction, which you take immediately after hitting a creature with a Melee weapon or an Unarmed Strike Range: Self Components: V Duration: #Concentration, up to 1 minute
The target hit by the attack roll takes an extra 5d10 Force damage from the attack. If the attack reduces the target to 50 Hit Points or fewer, the target must succeed on a Charisma saving throw or be transported to a harmless demiplane for the duration. While there, the target has the Incapacitated condition. When the spell ends, the target reappears in the space it left or in the nearest unoccupied space if that space is occupied.
#Paladin</t>
  </si>
  <si>
    <t>level 4 - #abjuration Casting Time: Action Range: 30 feet Components: V, S, M (a pentacle) Duration: #Concentration, up to 1 minute 
One creature that you can see within range must succeed on a Charisma saving throw or be transported to a harmless demiplane for the duration. While there, the target has the Incapacitated condition. When the spell ends, the target reappears in the space it left or in the nearest unoccupied space if that space is occupied. If the target is an Aberration, a Celestial, an Elemental, a Fey, or a Fiend, the target doesn't return if the spell lasts for 1 minute. The target is instead transported to a random location on a plane (DM's choice) associated with its creature type. 
Using a Higher-Level Spell Slot. You can target one additional creature for each spell slot level above 4
#Cleric #Paladin #Sorcerer #Warlock #Wizard</t>
  </si>
  <si>
    <t>level 2 - #transmutation Casting Time: #BonusAction Range: Touch Components: V, S, M (a handful of bark) Duration: 1 hour 
You touch a willing creature. Until the spell ends, the target's skin assumes a bark-like appearance, and the target has an Armor Class of 17 if its AC is lower than that.
#Druid #Ranger</t>
  </si>
  <si>
    <t>level 3 - #abjuration Casting Time: Action Range: 30 feet Components: V, S Duration: #Concentration, up to 1 minute 
Choose any number of creatures within range. For the duration, each target has Advantage on Wisdom saving throws and Death Saving Throws and regains the maximum number of Hit Points possible from any healing
#Cleric</t>
  </si>
  <si>
    <t>level 2 - #divination ( #ritual ) Casting Time: Action or Ritual Range: Touch Components: S Duration: #Concentration, up to 1 hour 
You touch a willing Beast. For the duration, you can perceive through the Beast's senses as well as your own. When perceiving through the Beast's senses, you benefit from any special senses it has
#Druid #Ranger</t>
  </si>
  <si>
    <t>level 8 - #enchantment Casting Time: Action Range: 150 feet Components: V, S, M (a key ring with no keys) Duration: Instantaneous
Description not available (not OGL)
#Bard #Druid #Warlock #Wizard</t>
  </si>
  <si>
    <t>level 3 - #necromancy Casting Time: Action Range: Touch Components: V, S Duration: #Concentration, up to 1 minute 
You touch a creature, which must succeed on a Wisdom saving throw or become cursed for the duration. Until the curse ends, the target suffers one of the following effects of your choice: 
â€¢ Choose one ability. The target has Disadvantage on ability checks and saving throws made with that ability. â€¢ The target has Disadvantage on attack rolls against you. 
â€¢ In combat, the target must succeed on a Wisdom saving throw at the start of each of its turns or be forced to take the Dodge action on that turn. 
â€¢ If you deal damage to the target with an attack roll or a spell, the target takes an extra 1d8 Necrotic damage. 
Using a Higher-Level Spell Slot. If you cast this spell using a level 4 spell slot, you can maintain #Concentration on it for up to 10 minutes. If you use a level 5+ spell slot, the spell doesn't require #Concentration, and the duration becomes 8 hours (level 5-6 slot) or 24 hours (level 7-8 slot). If you use a level 9 spell slot, the spell lasts until dispelled_x000D_
#Bard #Cleric #Wizard</t>
  </si>
  <si>
    <t>level 5 - #evocation Casting Time: Action Range: 120 feet Components: V, S, M (an eggshell and a glove) Duration: #Concentration, up to 1 minute 
You create a Large hand of shimmering magical energy in an unoccupied space that you can see within range. The hand lasts for the duration, and it moves at your command, mimicking the movements of your own hand. The hand is an object that has AC 20 and Hit Points equal to your Hit Point maximum. If it drops to 0 Hit Points, the spell ends. The hand doesn't occupy its space. When you cast the spell and as a Bonus Action on your later turns, you can move the hand up to 60 feet and then cause one of the following effects: 
**Clenched Fist.** The hand strikes a target within 5 feet of it. Make a melee spell attack. On a hit, the target takes 5d8 Force damage. Forceful Hand. The hand attempts to push a Huge or smaller creature within 5 feet of it. The target must succeed on a Strength saving throw, or the hand pushes the target up to 5 feet plus a number of feet equal to five times your spellcasting ability modifier. The hand moves with the target, remaining within 5 feet of it. 
**Grasping Hand.** The hand attempts to grapple a Huge or smaller creature within 5 feet of it. The target must succeed on a Dexterity saving throw, or the target has the Grappled condition, with an escape DC equal to your spell save DC. While the hand grapples the target, you can take a Bonus Action to cause the hand to crush it, dealing Bludgeoning damage to the target equal to 4d6 plus your spellcasting ability modifier. 
**Interposing Hand.** The hand grants you Half Cover against attacks and other effects that originate from its space or that pass through it. In addition, its space counts as Difficult Terrain for your enemies. 
Using a Higher-Level Spell Slot. The damage of the Clenched Fist increases by 2d8 and the damage of the Grasping Hand increases by 2d6 for each spell slot level above 5_x000D_
#Sorcerer #Wizard</t>
  </si>
  <si>
    <t>level 6 - #evocation Casting Time: Action Range: 90 feet Components: V, S Duration: #Concentration, up to 10 minutes 
You create a wall of whirling blades made of magical energy. The wall appears within range and lasts for the duration. You make a straight wall up to 100 feet long, 20 feet high, and 5 feet thick, or a ringed wall up to 60 feet in diameter, 20 feet high, and 5 feet thick. The wall provides Three-Quarters Cover, and its space is Difficult Terrain. Any creature in the wall's space makes a Dexterity saving throw, taking 6d10 Force damage on a failed save or half as much damage on a successful one. A creature also makes that save if it enters the wall's space or ends it turn there. A creature makes that save only once per turn_x000D_
#Cleric</t>
  </si>
  <si>
    <t>level 0 - #abjuration Casting Time: Action Range: Self Components: V, S Duration: #Concentration, up to 1 minute 
Whenever a creature makes an attack roll against you before the spell ends, the attacker subtracts 1d4 from the attack roll_x000D_
#Bard #Sorcerer #Warlock #Wizard</t>
  </si>
  <si>
    <t>level 1 - #enchantment Casting Time: Action Range: 30 feet Components: V, S, M (a Holy Symbol, worth 5+ GP) Duration: #Concentration, up to 1 minute 
You bless up to three creatures within range. Whenever a target makes an attack roll or a saving throw before the spell ends, the target adds 1d4 to the attack roll or save. 
Using a Higher-Level Spell Slot. You can target one additional creature for each spell slot level above 1_x000D_
#Cleric #Paladin</t>
  </si>
  <si>
    <t>level 4 - #necromancy Casting Time: Action Range: 30 feet Components: V, S Duration: Instantaneous 
A creature that you can see within range makes a Constitution saving throw, taking 8d8 Necrotic damage on a failed save or half as much damage on a successful one. A Plant creature automatically fails the save. 
Alternatively, target a nonmagical plant that isn't a creature, such as a tree or shrub. It doesn't make a save; it simply withers and dies. 
Using a Higher-Level Spell Slot. The damage increases by 1d8 for each spell slot level above 4_x000D_
#Druid #Sorcerer #Warlock #Wizard</t>
  </si>
  <si>
    <t>level 3 - #evocation Casting Time: #BonusAction, which you take immediately after hitting a creature with a Melee weapon or an Unarmed Strike Range: Self Components: V Duration: 1 minute 
The target hit by the strike takes an extra 3d8 Radiant damage from the attack, and the target has the Blinded condition until the spell ends. At the end of each of its turns, the Blinded target makes a Constitution saving throw, ending the spell on itself on a success. 
Using a Higher-Level Spell Slot. The extra damage increases by 1d8 for each spell slot level above 3_x000D_
#Paladin</t>
  </si>
  <si>
    <t xml:space="preserve">level 2 - #transmutation Casting Time: Action Range: 120 feet Components: V Duration: 1 minute 
One creature that you can see within range must succeed on a Constitution saving throw, or it has the Blinded or Deafened condition (your choice) for the duration. At the end of each of its turns, the target repeats the save, ending the spell on itself on a success. 
Using a Higher-Level Spell Slot. You can target one additional creature for each spell slot level above 2_x000D_
</t>
  </si>
  <si>
    <t>level 3 - #transmutation Casting Time: Action Range: Self Components: V, S Duration: 1 minute 
Roll 1d6 at the end of each of your turns for the duration. On a roll of 4â€“6, you vanish from your current plane of existence and appear in the Ethereal Plane (the spell ends instantly if you are already on that plane). While on the Ethereal Plane, you can perceive the plane you left, which is cast in shades of gray, but you can't see anything there more than 60 feet away. You can affect and be affected only by other creatures on the Ethereal Plane, and creatures on the other plane can't perceive you unless they have a special ability that lets them perceive things on the Ethereal Plane. You return to the other plane at the start of your next turn and when the spell ends if you are on the Ethereal Plane. You return to an unoccupied space of your choice that you can see within 10 feet of the space you left. If no unoccupied space is available within that range, you appear in the nearest unoccupied space_x000D_
#Sorcerer #Wizard</t>
  </si>
  <si>
    <t>level 2 - #illusion Casting Time: Action Range: Self Components: V Duration: #Concentration, up to 1 minute 
Your body becomes blurred. For the duration, any creature has Disadvantage on attack rolls against you. An attacker is immune to this effect if it perceives you with Blindsight or Truesight._x000D_
#Sorcerer #Wizard</t>
  </si>
  <si>
    <t>level 1 - #evocation Casting Time: Action Range: Self Components: V, S Duration: Instantaneous 
A thin sheet of flames shoots forth from you. Each creature in a 15- #foot Cone makes a Dexterity saving throw, taking 3d6 Fire damage on a failed save or half as much damage on a successful one. Flammable objects in the Cone that aren't being worn or carried start burning. 
Using a Higher-Level Spell Slot. The damage increases by 1d6 for each spell slot level above 1_x000D_
#Sorcerer #Wizard</t>
  </si>
  <si>
    <t>level 3 - #conjuration Casting Time: Action Range: 120 feet Components: V, S Duration: #Concentration, up to 10 minutes 
A storm cloud appears at a point within range that you can see above yourself. It takes the shape of a Cylinder that is 10 feet tall with a 60-foot radius. 
When you cast the spell, choose a point you can see under the cloud. A lightning bolt shoots from the cloud to that point. Each creature within 5 feet of that point makes a Dexterity saving throw, taking 3d10 Lightning damage on a failed save or half as much damage on a successful one. 
Until the spell ends, you can take a Magic action to call down lightning in that way again, targeting the same point or a different one. If you're outdoors in a storm when you cast this spell, the spell gives you control over that storm instead of creating a new one. Under such conditions, the spell's damage increases by 1d10. 
Using a Higher-Level Spell Slot. The damage increases by 1d10 for each spell slot level above 3_x000D_
#Druid</t>
  </si>
  <si>
    <t>level 2 - #enchantment Casting Time: Action Range: 60 feet Components: V, S Duration: #Concentration, up to 1 minute
Each Humanoid in a 20-foot-radius Sphere centered on a point you choose within range must succeed on a Charisma saving throw or be affected by one of the following effects (choose for each creature): 
â€¢ The creature has Immunity to the Charmed and Frightened conditions until the spell ends. If the creature was already Charmed or Frightened, those conditions are suppressed for the duration. 
â€¢ The creature becomes Indifferent about creatures of your choice that it's Hostile toward. This indifference ends if the target takes damage or witnesses its allies taking damage. When the spell ends, the creature's attitude returns to normal_x000D_
#Bard #Cleric</t>
  </si>
  <si>
    <t>level 6 - #evocation Casting Time: Action Range: 150 feet Components: V, S, M (three silver pins) Duration: Instantaneous 
You launch a lightning bolt toward a target you can see within range. Three bolts then leap from that target to as many as three other targets of your choice, each of which must be within 30 feet of the first target. A target can be a creature or an object and can be targeted by only one of the bolts. Each target makes a Dexterity saving throw, taking 10d8 Lightning damage on a failed save or half as much damage on a successful one. 
Using a Higher-Level Spell Slot. One additional bolt leaps from the first target to another target for each spell slot level above 6._x000D_
#Sorcerer #Wizard</t>
  </si>
  <si>
    <t>level 4 - #enchantment Casting Time: Action Range: 30 feet Components: V, S Duration: 1 hour 
One creature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4._x000D_
#Bard #Druid #Sorcerer #Warlock #Wizard</t>
  </si>
  <si>
    <t>level 1 - #enchantment Casting Time: Action Range: 30 feet Components: V, S Duration: 1 hour 
One Humanoid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1._x000D_
#Bard #Druid #Sorcerer #Warlock #Wizard</t>
  </si>
  <si>
    <t>level 0 - #necromancy Casting Time: Action Range: Touch Components: V, S Duration: Instantaneous 
 Channeling the chill of the grave, make a melee spell attack against a target within reach. On a hit, the target takes 1d10 Necrotic damage, and it can't regain Hit Points until the end of your next turn. 
 Cantrip Upgrade. The damage increases by 1d10 when you reach levels 5 (2d10), 11 (3d10), and 17 (4d10).
#Sorcerer #Warlock #Wizard</t>
  </si>
  <si>
    <t>level 1 - #evocation Casting Time: Action Range: 90 feet Components: V, S, M (a diamond worth 50+ GP) Duration: Instantaneous 
You hurl an orb of energy at a target within range. Choose Acid, Cold, Fire, Lightning, Poison, or Thunder for the type of orb you create, and then make a ranged spell attack against the target. On a hit, the target takes 3d8 damage of the chosen type. If you roll the same number on two or more of the d8s, the orb leaps to a different target of your choice within 30 feet of the target. Make an attack roll against the new target, and make a new damage roll. The orb can't leap again unless you cast the spell with a level 2+ spell slot. 
Using a Higher-Level Spell Slot. The damage increases by 1d8 for each spell slot level above 1. The orb can leap a maximum number of times equal to the level of the slot expended, and a creature can be targeted only once by each casting of this spell._x000D_
#Sorcerer #Wizard</t>
  </si>
  <si>
    <t>level 6 - #necromancy Casting Time: Action Range: 150 feet Components: V, S, M (the powder of a crushed black pearl worth 500+ GP) Duration: Instantaneous 
Negative energy ripples out in a 60-foot-radius Sphere from a point you choose within range. Each creature in that area makes a Constitution saving throw, taking 8d8 Necrotic damage on a failed save or half as much damage on a successful one. 
Using a Higher-Level Spell Slot. The damage increases by 2d8 for each spell slot level above 6._x000D_
#Sorcerer #Warlock #Wizard</t>
  </si>
  <si>
    <t>level 5 - #abjuration Casting Time: Action Range: Self Components: V Duration: #Concentration, up to 10 minutes Description 
not available (not OGL)_x000D_
#Cleric #Paladin #Wizard</t>
  </si>
  <si>
    <t>level 3 - #divination Casting Time: 10 minutes Range: 1 mile Components: V, S, M (a focus worth 100+ GP, either a jeweled horn for hearing or a glass eye for seeing) Duration: #Concentration, up to 10 minutes 
You create an Invisible sensor within range in a location familiar to you (a place you have visited or seen before) or in an obvious location that is unfamiliar to you (such as behind a door, around a corner, or in a grove of trees). The intangible, invulnerable sensor remains in place for the duration. 
When you cast the spell, choose seeing or hearing. You can use the chosen sense through the sensor as if you were in its space. As a Bonus Action, you can switch between seeing and hearing. 
A creature that sees the sensor (such as a creature benefiting from See Invisibility or Truesight) sees a luminous orb about the size of your fist._x000D_
#Bard #Cleric #Sorcerer #Wizard</t>
  </si>
  <si>
    <t>level 8 - #necromancy Casting Time: 1 hour Range: Touch Components: V, S, M (a diamond worth 1,000+ GP, which the spell consumes, and a vessel worth 2,000+ GP that is large enough to hold the creature being cloned) Duration: Instantaneous 
You touch a creature or at least 1 cubic inch of its flesh. An inert duplicate of that creature forms inside the vessel used in the spell's casting and finishes growing after 120 days; you choose whether the finished clone is the same age as the creature or younger. The clone remains inert and endures indefinitely while its vessel remains undisturbed. 
If the original creature dies after the clone finishes forming, the creature's soul transfers to the clone if the soul is free and willing to return. The clone is physically identical to the original and has the same personality, memories, and abilities, but none of the original's equipment. The creature's original remains, if any, become inert and can't be revived, since the creature's soul is elsewhere._x000D_
#Wizard</t>
  </si>
  <si>
    <t>level 2 - #conjuration Casting Time: Action Range: 60 feet Components: V, S, M (a sliver of glass) Duration: #Concentration, up to 1 minute 
You conjure spinning daggers in a 5-foot Cube centered on a point within range. Each creature in that area takes 4d4 Slashing damage. A creature also takes this damage if it enters the Cube or ends its turn there or if the Cube moves into its space. A creature takes this damage only once per turn. On your later turns, you can take a Magic action to teleport the Cube up to 30 feet. 
Using a Higher-Level Spell Slot. The damage increases by 2d4 for each spell slot level above 2._x000D_
#Bard #Sorcerer #Warlock #Wizard</t>
  </si>
  <si>
    <t>level 5 - #conjuration Casting Time: Action Range: 120 feet Components: V, S Duration: #Concentration, up to 10 minutes 
You create a 20-foot-radius Sphere of yellow-green fog centered on a point within range. The fog lasts for the duration or until strong wind (such as the one created by Gust of Wind) disperses it, ending the spell. Its area is Heavily Obscured. 
Each creature in the Sphere makes a Constitution saving throw, taking 5d8 Poison damage on a failed save or half as much damage on a successful one. A creature must also make this save when the Sphere moves into its space and when it enters the Sphere or ends its turn there. A creature makes this save only once per turn. 
The Sphere moves 10 feet away from you at the start of each of your turns. 
Using a Higher-Level Spell Slot. The damage increases by 1d8 for each spell slot level above 5_x000D_
#Sorcerer #Wizard</t>
  </si>
  <si>
    <t>level 1 - #illusion Casting Time: Action Range: Self Components: V, S, M (a pinch of colorful sand) Duration: Instantaneous 
You launch a dazzling array of flashing, colorful light. Each creature in a 15-foot Cone originating from you must succeed on a Constitution saving throw or have the Blinded condition until the end of your next turn.
#Bard #Sorcerer #Wizard</t>
  </si>
  <si>
    <t>level 1 - #enchantment Casting Time: Action Range: 60 feet Components: V Duration: Instantaneous 
You speak a one-word command to a creature you can see within range. The target must succeed on a Wisdom saving throw or follow the command on its next turn. Choose the command from these options: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has the Prone condition and then ends its turn. 
**Halt.** On its turn, the target doesn't move and takes no action or Bonus Action. 
Using a Higher-Level Spell Slot. You can affect one additional creature for each spell slot level above 1.
#Bard #Cleric #Paladin</t>
  </si>
  <si>
    <t>level 5 - #divination ( #ritual ) Casting Time: 1 minute or Ritual Range: Self Components: V, S Duration: Instantaneous 
You commune with nature spirits and gain knowledge of the surrounding area. In the outdoors, the spell gives you knowledge of the area within 3 miles of you. In caves and other natural underground settings, the radius is limited to 300 feet. The spell doesn't function where nature has been replaced by construction, such as in castles and settlements. 
Choose three of the following facts; you learn those facts as they pertain to the spell's area: 
â€¢ Locations of settlements 
â€¢ Locations of portals to other planes of existence 
â€¢ Location of one Challenge Rating 10+ creature (DM's choice) that is a Celestial, an Elemental, a Fey, a Fiend, or an Undead 
â€¢ The most prevalent kind of plant, mineral, or Beast (you choose which to learn) 
â€¢ Locations of bodies of water 
For example, you could determine the location of a powerful monster in the area, the locations of bodies of water, and the locations of any towns._x000D_
#Druid #Ranger</t>
  </si>
  <si>
    <t>level 5 - #divination ( #ritual ) Casting Time: 1 minute or Ritual Range: Self Components: V, S, M (incense) Duration: 1 minute 
You contact a deity or a divine proxy and ask up to three questions that can be answered with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more than once before finishing a Long Rest, there is a cumulative 25 percent chance for each casting after the first that you get no answer._x000D_
#Cleric</t>
  </si>
  <si>
    <t>level 1 - #enchantment Casting Time: #BonusAction Range: 30 feet Components: V Duration: #Concentration, up to 1 minute 
You try to compel a creature into a duel. One creature that you can see within range makes a Wisdom saving throw. On a failed save, the target has Disadvantage on attack rolls against creatures other than you, and it can't willingly move to a space that is more than 30 feet away from you. 
The spell ends if you make an attack roll against a creature other than the target, if you cast a spell on an enemy other than the target, if an ally of yours damages the target, or if you end your turn more than 30 feet away from the target._x000D_
#Paladin</t>
  </si>
  <si>
    <t>level 1 - #divination ( #ritual ) Casting Time: Action or Ritual Range: Self Components: V, S, M (a pinch of soot and salt) Duration: 1 hour 
For the duration, you understand the literal meaning of any language that you hear or see signed. You also understand any written language that you see, but you must be touching the surface on which the words are written. It takes about 1 minute to read one page of text. This spell doesn't decode symbols or secret messages._x000D_
#Bard #Sorcerer #Warlock #Wizard</t>
  </si>
  <si>
    <t>level 4 - #enchantment Casting Time: Action Range: 30 feet Components: V, S Duration: #Concentration, up to 1 minute 
Each creature of your choice that you can see within range must succeed on a Wisdom saving throw or have the Charmed condition until the spell ends. 
For the duration, you can take a Bonus Action to designate a direction that is horizontal to you. Each Charmed target must use as much of its movement as possible to move in that direction on its next turn, taking the safest route. After moving in this way, a target repeats the save, ending the spell on itself on a success._x000D_
#Bard</t>
  </si>
  <si>
    <t>level 5 - #evocation Casting Time: Action Range: Self Components: V, S, M (a small crystal or glass cone) Duration: Instantaneous 
You unleash a blast of cold air. Each creature in a 60-foot Cone originating from you makes a Constitution saving throw, taking 8d8 Cold damage on a failed save or half as much damage on a successful one. A creature killed by this spell becomes a frozen statue until it thaws. 
Using a Higher-Level Spell Slot. The damage increases by 1d8 for each spell slot level above 5_x000D_
#Druid #Sorcerer #Wizard</t>
  </si>
  <si>
    <t>level 4 - #enchantment Casting Time: Action Range: 90 feet Components: V, S, M (three nut shells) Duration: #Concentration, up to 1 minute 
Each creature in a 10-foot-radius Sphere centered on a point you choose within range must succeed on a Wisdom saving throw, or that target can't take Bonus Actions or Reactions and must roll 1d10 at the start of each of its turns to determine its behavior for that turn, consulting the table below. 
| **1d10** | **Behavior for the Turn**                                                                                                                                                      |
| -------- | ------------------------------------------------------------------------------------------------------------------------------------------------------------------------------ |
| 1        | The target doesn't take an action, and it uses all its movement to move. Roll 1d4 for the direction: 1, north; 2, east; 3, south; or 4, west.                                  |
| 2-6      | The target doesn't move or take actions.                                                                                                                                       |
| 7-8      | The target doesn't move, and it takes the Attack action to make one melee attack against a random creature within reach. If none are within reach, the target takes no action. |
| 9-10     | The target chooses its behavior.                                                                                                                                               |
At the end of each of its turns, an affected target repeats the save, ending the spell on itself on a success. 
Using a Higher-Level Spell Slot. The Sphere's radius increases by 5 feet for each spell slot level above 4.
#Bard #Druid #Sorcerer #Wizard</t>
  </si>
  <si>
    <t>level 3 - #conjuration Casting Time: Action Range: 60 feet Components: V, S Duration: #Concentration, up to 10 minutes 
You conjure nature spirits that appear as a Large pack of spectral, intangible animals in an unoccupied space you can see within range. The pack lasts for the duration, and you choose the spirits' animal form, such as wolves, serpents, or birds. 
You have Advantage on Strength saving throws while you're within 5 feet of the pack, and when you move on your turn, you can also move the pack up to 30 feet to an unoccupied space you can see. Whenever the pack moves within 10 feet of a creature you can see and whenever a creature you can see enters a space within 10 feet of the pack or ends its turn there, you can force that creature to make a Dexterity saving throw. On a failed save, the creature takes 3d10 Slashing damage. A creature makes this save only once per turn. 
Using a Higher-Level Spell Slot. The damage increases by 1d10 for each spell slot level above 3._x000D_
#Druid #Ranger</t>
  </si>
  <si>
    <t>level 3 - #conjuration Casting Time: Action Range: Self Components: V, S, M (a Melee or Ranged weapon worth at least 1 CP) Duration: Instantaneous 
You brandish the weapon used to cast the spell and conjure similar spectral weapons (or ammunition appropriate to the weapon) that launch forward and then disappear. Each creature of your choice that you can see in a 60-foot Cone makes a Dexterity saving throw, taking 5d8 Force damage on a failed save or half as much damage on a successful one. 
Using a Higher-Level Spell Slot. The damage increases by 1d8 for each spell slot level above 3._x000D_
#Ranger</t>
  </si>
  <si>
    <t>level 7 - #conjuration Casting Time: Action Range: 90 feet Components: V, S Duration: #Concentration, up to 10 minutes 
You conjure a spirit from the Upper Planes, which manifests as a pillar of light in a 10-foot-radius, 40-foot-high Cylinder centered on a point within range. For each creature you can see in the Cylinder, choose which of these lights shines on it: 
**Healing Light.** The target regains Hit Points equal to 4d12 plus your spellcasting ability modifier. Searing Light. The target makes a Dexterity saving throw, taking 6d12 Radiant damage on a failed save or half as much damage on a successful one. 
Until the spell ends, Bright Light fills the Cylinder, and when you move on your turn, you can also move the Cylinder up to 30 feet. Whenever the Cylinder moves into the space of a creature you can see and whenever a creature you can see enters the Cylinder or ends its turn there, you can bathe it in one of the lights. A creature can be affected by this spell only once per turn. 
Using a Higher-Level Spell Slot. The healing and damage increase by 1d12 for each spell slot level above 7._x000D_
#Cleric</t>
  </si>
  <si>
    <t>level 5 - #conjuration Casting Time: Action Range: 60 feet Components: V, S Duration: #Concentration, up to 10 minutes 
You conjure a Large, intangible spirit from the Elemental Planes that appears in an unoccupied space within range. Choose the spirit's element, which determines its damage type: air (Lightning), earth (Thunder), fire (Fire), or water (Cold). The spirit lasts for the duration. 
Whenever a creature you can see enters the spirit's space or starts its turn within 5 feet of the spirit, you can force that creature to make a Dexterity saving throw if the spirit has no creature Restrained. On failed save, the target takes 8d8 damage of the spirit's type, and the target has the Restrained condition until the spell ends. At the start of each of its turns, the Restrained target repeats the save. On a failed save, the target takes 4d8 damage of the spirit's type. On a successful save, the target isn't Restrained by the spirit. 
Using a Higher-Level Spell Slot. The damage increases by 2d8 for each spell slot level above 5._x000D_
#Druid #Wizard</t>
  </si>
  <si>
    <t>level 6 - #conjuration Casting Time: Action Range: 60 feet Components: V, S Duration: #Concentration, up to 10 minutes 
You conjure a Medium spirit from the Feywild in an unoccupied space you can see within range. The spirit lasts for the duration, and it looks like a Fey creature of your choice. When the spirit appears, you can make one melee spell attack against a creature within 5 feet of it. On a hit, the target takes Psychic damage equal to 3d12 plus your spellcasting ability modifier, and the target has the Frightened condition until the start of your next turn, with both you and the spirit as the source of the fear. 
As a Bonus Action on your later turns, you can teleport the spirit to an unoccupied space you can see within 30 feet of the space it left and make the attack against a creature within 5 feet of it. 
Using a Higher-Level Spell Slot. The damage increases by 2d12 for each spell slot level above 6_x000D_
#Druid</t>
  </si>
  <si>
    <t>level 4 - #conjuration Casting Time: Action Range: Self Components: V, S Duration: #Concentration, up to 10 minutes 
You conjure spirits from the Elemental Planes that flit around you in a 15-foot Emanation for the duration. Until the spell ends, any attack you make deals an extra 2d8 damage when you hit a creature in the Emanation. This damage is Acid, Cold, Fire, or Lightning (your choice when you make the attack). In addition, the ground in the Emanation is Difficult Terrain for your enemies. 
Using a Higher-Level Spell Slot. The damage increases by 2d8 for each spell slot level above 4._x000D_
#Druid #Wizard</t>
  </si>
  <si>
    <t>level 5 - #conjuration Casting Time: Action Range: 150 feet Components: V, S, M (a Melee or Ranged weapon worth at least 1 CP) Duration: Instantaneous 
You brandish the weapon used to cast the spell and choose a point within range. Hundreds of similar spectral weapons (or ammunition appropriate to the weapon) fall in a volley and then disappear. Each creature of your choice that you can see in a 40-foot-radius, 20-foot-high Cylinder centered on that point makes a Dexterity saving throw. A creature takes 8d8 Force damage on a failed save or half as much damage on a successful one._x000D_
#Ranger</t>
  </si>
  <si>
    <t>level 4 - #conjuration Casting Time: Action Range: Self Components: V, S Duration: #Concentration, up to 10 minutes 
You conjure nature spirits that flit around you in a 10-foot Emanation for the duration. Whenever the Emanation enters the space of a creature you can see and whenever a creature you can see enters the Emanation or ends its turn there, you can force that creature to make a Wisdom saving throw. The creature takes 5d8 Force damage on a failed save or half as much damage on a successful one. A creature makes this save only once per turn. In addition, you can take the Disengage action as a Bonus Action for the spell's duration. 
Using a Higher-Level Spell Slot. The damage increases by 1d8 for each spell slot level above 5_x000D_
#Druid #Ranger</t>
  </si>
  <si>
    <t>level 5 - #divination ( #ritual ) Casting Time: 1 minute or Ritual Range: Self Components: V Duration: 1 minute 
You mentally contact a demigod, the spirit of a long-dead sage, or some other knowledgeable entity from another plane. Contacting this otherworldly intelligence can break your mind. When you cast this spell, make a DC 15 Intelligence saving throw. On a successful save, you can ask the entity up to five questions. You must ask your questions before the spell ends. The DM answers each question with one word, such as "yes," "no," "maybe," "never," "irrelevant," or "unclear" (if the entity doesn't know the answer to the question). If a one-word answer would be misleading, the DM might instead offer a short phrase as an answer. On a failed save, you take 6d6 Psychic damage and have the Incapacitated condition until you finish a Long Rest. A Greater Restoration spell cast on you ends this effect._x000D_
#Warlock #Wizard</t>
  </si>
  <si>
    <t>level 5 - #necromancy Casting Time: Action Range: Touch Components: V, S Duration: 7 days
Your touch inflicts a magical contagion. The target must succeed on a Constitution saving throw or take 11d8 Necrotic damage and have the Poisoned condition. Also, choose one ability when you cast the spell. While Poisoned, the target has Disadvantage on saving throws made with the chosen ability. The target must repeat the saving throw at the end of each of its turns until it gets three successes or failures. If the target succeeds on three of these saves, the spell ends on the target. If the target fails three of the saves, the spell lasts for 7 days on it. Whenever the Poisoned target receives an effect that would end the Poisoned condition, the target must succeed on a Constitution saving throw, or the Poisoned condition doesn't end on it_x000D_
#Cleric #Druid</t>
  </si>
  <si>
    <t>level 6 - #abjuration Casting Time: 10 minutes Range: Self Components: V, S, M (a gem-incrusted statuette of yourself worth 1,500+ GP) Duration: 10 days 
Choose a spell of level 5 or lower that you can cast, that has a casting time of an action, and that can target you. You cast that spellâ€”called the contingent spellâ€”as part of casting Contingency, expending spell slots for both, but the contingent spell doesn't come into effect. Instead, it takes effect when a certain trigger occurs. You describe that trigger when you cast the two spells. For example, a Contingency cast with Water Breathing might stipulate that Water Breathing comes into effect when you are engulfed in water or a similar liquid. 
The contingent spell takes effect immediately after the trigger occurs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
#Wizard</t>
  </si>
  <si>
    <t>level 2 - #evocation Casting Time: Action Range: Touch Components: V, S, M (ruby dust worth 50+ GP, which the spell consumes) Duration: Until dispelled 
A flame springs from an object that you touch. The effect casts Bright Light in a 20-foot radius and Dim Light for an additional 20 feet. It looks like a regular flame, but it creates no heat and consumes no fuel. The flame can be covered or hidden but not smothered or quenched._x000D_
#Cleric #Druid #Wizard</t>
  </si>
  <si>
    <t>level 4 - #transmutation Casting Time: Action Range: 300 feet Components: V, S, M (a mixture of water and dust) Duration: #Concentration, up to 10 minutes 
Until the spell ends, you control any water inside an area you choose that is a Cube up to 100 feet on a side, using one of the following effects. As a Magic action on your later turns, you can repeat the same effect or choose a different one. 
**Flood.** You cause the water level of all standing water in the area to rise by as much as 20 feet. If you choose an area in a large body of water, you instead create a 20-foot tall wave that travels from one side of the area to the other and then crashes.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part water in the area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The water continues to move in the direction you chose until the spell ends or you choose a different effect. 
**Whirlpool.** You cause a whirlpool to form in the center of the area, which must be at least 50 feet square and 25 feet deep. The whirlpool lasts until you choose a different effect or the spell ends. The whirlpool is 5 feet wide at the base, up to 50 feet wide at the top, and 25 feet tall. Any creature in the water and within 25 feet of the whirlpool is pulled 10 feet toward it. When a creature enters the whirlpool for the first time on a turn or ends its turn there, it makes a Strength saving throw. On a failed save, the creature takes 2d8 Bludgeoning damage. On a successful save, the creature takes half as much damage. A creature can swim away from the whirlpool only if it first takes an action to pull away and succeeds on a Strength (Athletics) check against your spell save DC._x000D_
#Cleric #Druid #Wizard</t>
  </si>
  <si>
    <t>level 8 - #transmutation Casting Time: 10 minutes Range: Self Components: V, S, M (burning incense) Duration: #Concentration, up to 8 hours 
You take control of the weather within 5 miles of you for the duration. You must be outdoors to cast this spell, and it ends early if you go indoors. When you cast the spell, you change the current weather conditions, which are determined by the DM. You can change precipitation, temperature, and wind. It takes 1d4 Ã—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Condition 
1 Clear 
2 Light clouds 
3 Overcast or ground fog 
4 Rain, hail, or snow 
5 Torrential rain, driving hail, or blizzard 
**Temperature** 
Stage Condition 
1 Heat wave 
2 Hot 
3 Warm 
4 Cool 
5 Cold 
6 Freezing 
**Wind** 
Stage Condition 
1 Calm 
2 Moderate wind 
3 Strong wind 
4 Gale 
5 Storm_x000D_
#Cleric #Druid #Wizard</t>
  </si>
  <si>
    <t>level 2 - #transmutation Casting Time: Action Range: Touch Components: V, S, M (an ornamental braid) Duration: 8 hours 
You touch up to four nonmagical Arrows or Bolts and plant them in the ground in your space. Until the spell ends, the ammunition can't be physically uprooted, and whenever a creature other than you enters a space within 30 feet of the ammunition for the first time on a turn or ends its turn there, one piece of ammunition flies up to strike it. The creature must succeed on a Dexterity saving throw or take 2d4 Piercing damage. The piece of ammunition is then destroyed. The spell ends when none of the ammunition remains planted in the ground. When you cast this spell, you can designate any creatures you choose, and the spell ignores them. 
**Using a Higher-Level Spell Slot.** The amount of ammunition that can be affected increases by two for each spell slot level above 2._x000D_
#Ranger</t>
  </si>
  <si>
    <t>level 3 - #abjuration Casting Time: #Reaction, which you take when you see a creature within 60 feet of yourself casting a spell with Verbal, Somatic, or Material components Range: 60 feet Components: S Duration: Instantaneous 
You attempt to interrupt a creature in the process of casting a spell. The creature must make a Constitution saving throw. On a failed save, the spell dissipates with no effect, and the action, Bonus Action, or Reaction used to cast it is wasted. If that spell was cast with a spell slot, the slot isn't expended_x000D_
#Sorcerer #Warlock #Wizard</t>
  </si>
  <si>
    <t>level 3 - #conjuration Casting Time: Action Range: 30 feet Components: V, S Duration: Instantaneous 
You create 45 pounds of food and 30 gallons of fresh water on the ground or in containers within rangeâ€”both useful in fending off the hazards of malnutrition and dehydration. The food is bland but nourishing and looks like a food of your choice, and the water is clean. The food spoils after 24 hours if uneaten._x000D_
#Cleric #Paladin</t>
  </si>
  <si>
    <t>level 1 - #transmutation Casting Time: Action Range: 30 feet Components: V, S, M (a mix of water and sand) Duration: Instantaneous 
You do one of the following: Create Water. You create up to 10 gallons of clean water within range in an open container. Alternatively, the water falls as rain in a 30-foot Cube within range, extinguishing exposed flames there. Destroy Water. You destroy up to 10 gallons of water in an open container within range. Alternatively, you destroy fog in a 30-foot Cube within range. 
Using a Higher-Level Spell Slot. You create or destroy 10 additional gallons of water, or the size of the Cube increases by 5 feet, for each spell slot level above 1._x000D_
#Cleric #Druid</t>
  </si>
  <si>
    <t>level 6 - #necromancy Casting Time: 1 minute Range: 10 feet Components: V, S, M (one 150+ GP black onyx stone for each corpse) Duration: Instantaneous 
You can cast this spell only at night. Choose up to three corpses of Medium or Small Humanoids within range. Each one becomes a Ghoul under your control. As a Bonus Action on each of your turns, you can mentally command any creature you animated with this spell if the creature is within 120 feet of you (if you control multiple creatures, you can command any of them at the same time, issuing the same command to them). You decide what action the creature will take and where it will move on its next turn, or you can issue a general command, such as to guard a particular place. If you issue no commands, the creature takes the Dodge action and moves only to avoid harm. Once given an order, the creature continues to follow the order until its task is complete. 
The creature is under your control for 24 hours, after which it stops obeying any command you've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 
Using a Higher-Level Spell Slot. If you use a level 7 spell slot, you can animate or reassert control over four Ghouls. If you use a level 8 spell slot, you can animate or reassert control over five Ghouls or two Ghasts or Wights. If you use a level 9 spell slot, you can animate or reassert contro_x000D_
#Cleric #Warlock #Wizard</t>
  </si>
  <si>
    <t>level 5 - #illusion Casting Time: 1 minute Range: 30 feet Components: V, S, M (a paintbrush) Duration: Special 
You pull wisps of shadow material from the Shadowfell to create an object within range. It is either an object of vegetable matter (soft goods, rope, wood, and the like) or mineral matter (stone, crystal, metal, and the like). The object must be no larger than a 5-foot Cube, and the object must be of a form and material that you have seen. 
The spell's duration depends on the object's material, as shown in the Materials table. If the object is composed of multiple materials, use the shortest duration. Using any object created by this spell as another spell's Material component causes the other spell to fail. 
Material Duration 
Vegetable matter       24 hours 
Stone or crystal          12 hours 
Precious metals            1 hour 
Gems                          10 minutes 
Adamantine or mithral 1 minute 
Using a Higher-Level Spell Slot. The Cube increases by 5 feet for each spell slot level above 5._x000D_
#Sorcerer #Wizard</t>
  </si>
  <si>
    <t>level 2 - #enchantment Casting Time: Action Range: 120 feet Components: V, S Duration: #Concentration, up to 1 minute 
One creature that you can see within range must succeed on a Wisdom saving throw or have the Charmed condition for the duration. The creature succeeds automatically if it isn't Humanoid. A spectral crown appears on the Charmed target's head, and it must use its action before moving on each of its turns to make a melee attack against a creature other than itself that you mentally choose. The target can act normally on its turn if you choose no creature or if no creature is within its reach. The target repeats the save at the end of each of its turns, ending the spell on itself on a success. 
On your later turns, you must take the Magic action to maintain control of the target, or the spell ends_x000D_
#Bard #Sorcerer #Warlock #Wizard</t>
  </si>
  <si>
    <t>level 3 - #evocation Casting Time: Action Range: Self Components: V Duration: #Concentration, up to 1 minute 
You radiate a magical aura in a 30-foot Emanation. While in the aura, you and your allies each deal an extra 1d4 Radiant damage when hitting with a weapon or an Unarmed Strike_x000D_
#Paladin</t>
  </si>
  <si>
    <t>level 1 - #abjuration Casting Time: Action Range: Touch Components: V, S Duration: Instantaneous 
A creature you touch regains a number of Hit Points equal to 2d8 plus your spellcasting ability modifier. 
Using a Higher-Level Spell Slot. The healing increases by 2d8 for each spell slot level above 1_x000D_
#Bard #Cleric #Druid #Paladin #Ranger</t>
  </si>
  <si>
    <t>level 0 - #illusion Casting Time: Action Range: 120 feet Components: V, S, M (a bit of phosphorus) Duration: #Concentration, up to 1 minute 
You create up to four torch-size lights within range, making them appear as torches, lanterns, or glowing orbs that hover for the duration. Alternatively, you combine the four lights into one glowing Medium form that is vaguely humanlike. Whichever form you choose, each light sheds Dim Light in a 10-foot radius. 
As a Bonus Action, you can move the lights up to 60 feet to a space within range. A light must be within 20 feet of another light created by this spell, and a light vanishes if it exceeds the spell's range._x000D_
#Bard #Sorcerer #Wizard</t>
  </si>
  <si>
    <t>level 2 - #evocation Casting Time: Action Range: 60 feet Components: V, M (bat fur and a piece of coal) Duration: #Concentration, up to 10 minutes 
For the duration, magical Darkness spreads from a point within range and fills a 15-foot-radius Sphere. Darkvision can't see through it, and nonmagical light can't illuminate it. 
Alternatively, you cast the spell on an object that isn't being worn or carried, causing the Darkness to fill a 15-foot Emanation originating from that object. Covering that object with something opaque, such as a bowl or helm, blocks the Darkness.
If any of this spell's area overlaps with an area of Bright Light or Dim Light created by a spell of level 2 or lower, that other spell is dispelled_x000D_
#Sorcerer #Warlock #Wizard</t>
  </si>
  <si>
    <t>level 2 - #transmutation Casting Time: Action Range: Touch Components: V, S, M (a dried carrot) Duration: 8 hours 
For the duration, a willing creature you touch has Darkvision with a range of 150 feet_x000D_
#Druid #Ranger #Sorcerer #Wizard</t>
  </si>
  <si>
    <t>level 3 - #evocation Casting Time: Action Range: 60 feet Components: V, S Duration: 1 hour 
For the duration, sunlight spreads from a point within range and fills a 60-foot-radius Sphere. The sunlight's area is Bright Light and sheds Dim Light for an additional 60 feet. 
Alternatively, you cast the spell on an object that isn't being worn or carried, causing the sunlight to fill a 60-foot Emanation originating from that object. Covering that object with something opaque, such as a bowl or helm, blocks the sunlight. 
If any of this spell's area overlaps with an area of Darkness created by a spell of level 3 or lower, that other spell is dispelled_x000D_
#Cleric #Druid #Paladin #Ranger #Sorcerer</t>
  </si>
  <si>
    <t>level 4 - #abjuration Casting Time: Action Range: Touch Components: V, S Duration: 8 hours 
You touch a creature and grant it a measure of protection from death. The first time the target would drop to 0 Hit Points before the spell ends, the target instead drops to 1 Hit Point, and the spell ends. 
If the spell is still in effect when the target is subjected to an effect that would kill it instantly without dealing damage, that effect is negated against the target, and the spell ends._x000D_
#Cleric #Paladin</t>
  </si>
  <si>
    <t>level 7 - #evocation Casting Time: Action Range: 150 feet Components: V, S, M (a ball of bat guano and sulfur) Duration: #Concentration, up to 1 minute 
A beam of yellow light flashes from you, then condenses at a chosen point within range as a glowing bead for the duration. When the spell ends, the bead explodes, and each creature in a 20- foot-radius Sphere centered on that point makes a Dexterity saving throw. A creature takes Fire damage equal to the total accumulated damage on a failed save or half as much damage on a successful one. 
The spell's base damage is 12d6, and the damage increases by 1d6 whenever your turn ends and the spell hasn't ended. If a creature touches the glowing bead before the spell ends, that creature makes a Dexterity saving throw. On a failed save, the spell ends, causing the bead to explode. 
On a successful save, the creature can throw the bead up to 40 feet. If the thrown bead enters a creature's space or collides with a solid object, the spell ends, and the bead explodes. 
When the bead explodes, flammable objects in the explosion that aren't being worn or carried start burning. 
Using a Higher-Level Spell Slot. The base damage increases by 1d6 for each spell slot level above 7._x000D_
#Sorcerer #Wizard</t>
  </si>
  <si>
    <t>level 8 - #conjuration Casting Time: Action Range: 60 feet Components: S Duration: 1 hour 
You create a shadowy Medium door on a flat solid surface that you can see within range. This door can be opened and closed, and it leads to a demiplane that is an empty room 30 feet in each dimension, made of wood or stone (your choice). 
When the spell ends, the door vanishes, and any objects inside the demiplane remain there. Any creatures inside also remain unless they opt to be shunted through the door as it vanishes, landing with the Prone condition in the unoccupied spaces closest to the door's former space. 
Each time you cast this spell, you can create a new demiplane or connect the shadowy door to a demiplane you created with a previous casting of this spell. Additionally, if you know the nature and contents of a demiplane created by a casting of this spell by another creature, you can connect the shadowy door to that demiplane instead_x000D_
#Sorcerer #Warlock #Wizard</t>
  </si>
  <si>
    <t>level 5 - #evocation Casting Time: Action Range: Self Components: V Duration: Instantaneous 
Description not available (not OGL)._x000D_
#Paladin</t>
  </si>
  <si>
    <t>level 1 - #divination Casting Time: Action Range: Self Components: V, S Duration: #Concentration, up to 10 minutes 
For the duration, you sense the location of any Aberration, Celestial, Elemental, Fey, Fiend, or Undead within 30 feet of yourself. You also sense whether the Hallow spell is active there and, if so, where. 
The spell is blocked by 1 foot of stone, dirt, or wood; 1 inch of metal; or a thin sheet of lead._x000D_
#Cleric #Paladin</t>
  </si>
  <si>
    <t>level 1 - #divination ( #ritual ) Casting Time: Action or Ritual Range: Self Components: V, S Duration: #Concentration, up to 10 minutes 
For the duration, you sense the presence of magical effects within 30 feet of yourself. If you sense such effects, you can take the Magic action to see a faint aura around any visible creature or object in the area that bears the magic, and if an effect was created by a spell, you learn the spell's school of magic.
The spell is blocked by 1 foot of stone, dirt, or wood; 1 inch of metal; or a thin sheet of lead_x000D_
#Bard #Cleric #Druid #Paladin #Ranger #Sorcerer #Warlock #Wizard</t>
  </si>
  <si>
    <t>level 1 - #divination ( #ritual ) Casting Time: Action or Ritual Range: Self Components: V, S, M (a yew leaf) Duration: #Concentration, up to 10 minutes 
For the duration, you sense the location of poisons, poisonous or venomous creatures, and magical contagions within 30 feet of yourself. You sense the kind of poison, creature, or contagion in each case. 
The spell is blocked by 1 foot of stone, dirt, or wood; 1 inch of metal; or a thin sheet of lead_x000D_
#Cleric #Druid #Paladin #Ranger</t>
  </si>
  <si>
    <t>level 2 - #divination Casting Time: Action Range: Self Components: V, S, M (a copper piece) Duration: #Concentration, up to 1 minute 
You activate one of the effects below. Until the spell ends, you can activate either effect as a Magic action on your later turns. 
**Sense Thoughts.** You sense the presence of thoughts within 30 feet of yourself that belong to creatures that know languages or are telepathic. You don't read the thoughts, but you know that a thinking creature is present. 
The spell is blocked by 1 foot of stone, dirt, or wood; 1 inch of metal; or a thin sheet of lead. 
**Read Thoughts.** Target one creature you can see within 30 feet of yourself or one creature within 30 feet of yourself that you detected with the Sense Thoughts option. You learn what is most on the target's mind right now. If the target doesn't know any languages and isn't telepathic, you learn nothing. 
As a Magic action on your next turn, you can try to probe deeper into the target's mind. If you probe deeper, the target makes a Wisdom saving throw. On a failed save, you discern the target's reasoning, emotions, and something that looms large in its mind (such as a worry, love, or hate). On a successful save, the spell ends. Either way, the target knows that you are probing into its mind, and until you shift your attention away from the target's mind, the target can take an action on its turn to make an Intelligence (Arcana) check against your spell save DC, ending the spell on a success_x000D_
#Bard #Sorcerer #Wizard</t>
  </si>
  <si>
    <t>level 4 - #conjuration Casting Time: Action Range: 500 feet Components: V Duration: Instantaneous 
You teleport to a location within range. You arrive at exactly the spot desired. It can be a place you can see, one you can visualize, or one you can describe by stating distance and direction, such as "200 feet straight downward" or "300 feet upward to the northwest at a 45-degree angle." 
You can also teleport one willing creature. The creature must be within 5 feet of you when you teleport, and it teleports to a space within 5 feet of your destination space. 
If you, the other creature, or both would arrive in a space occupied by a creature or completely filled by one or more objects, you and any creature traveling with you each take 4d6 Force damage, and the teleportation fails_x000D_
#Bard #Sorcerer #Warlock #Wizard</t>
  </si>
  <si>
    <t>level 1 - #illusion Casting Time: Action Range: Self Components: V, S Duration: 1 hour 
You make yourselfâ€”including your clothing, armor, weapons, and other belongings on your personâ€”look different until the spell ends. You can seem 1 foot shorter or taller and can appear heavier or lighter. You must adopt a form that has the same basic arrangement of limbs as you have. Otherwise, the extent of the illusion is up to you. 
The changes wrought by this spell fail to hold up to physical inspection. For example, if you use this spell to add a hat to your outfit, objects pass through the hat, and anyone who touches it would feel nothing. 
To discern that you are disguised, a creature must take the Study action to inspect your appearance and succeed on an Intelligence (Investigation) check against your spell save DC_x000D_
#Bard #Sorcerer #Wizard</t>
  </si>
  <si>
    <t>level 6 - #transmutation Casting Time: Action Range: 60 feet Components: V, S, M (a lodestone and dust) Duration: Instantaneous 
You launch a green ray at a target you can see within range. The target can be a creature, a nonmagical object, or a creation of magical force, such as the wall created by Wall of Force. 
A creature targeted by this spell makes a Dexterity saving throw. On a failed save, the target takes 10d6 + 40 Force damage. If this damage reduces it to 0 Hit Points, it and everything nonmagical it is wearing and carrying are disintegrated into gray dust. The target can be revived only by a True Resurrection or a Wish spell. 
This spell automatically disintegrates a Large or smaller nonmagical object or a creation of magical force. If such a target is Huge or larger, this spell disintegrates a 10-foot-Cube portion of it. 
Using a Higher-Level Spell Slot. The damage increases by 3d6 for each spell slot level above 6_x000D_
#Sorcerer #Wizard</t>
  </si>
  <si>
    <t>level 5 - #abjuration Casting Time: Action Range: Self Components: V, S, M (powdered silver and iron) Duration: #Concentration, up to 1 minute 
For the duration, Celestials, Elementals, Fey, Fiends, and Undead have Disadvantage on attack rolls against you. You can end the spell early by using either of the following special functions. 
**Break Enchantment.** As a Magic action, you touch a creature that is possessed by or has the Charmed or Frightened condition from one or more creatures of the types above. The target is no longer possessed, Charmed, or Frightened by such creatures. 
**Dismissal.** As a Magic action, you target one creature you can see within 5 feet of you that has one of the creature types above. The target must succeed on a Charisma saving throw or be sent back to its home plane if it isn't there already. If they aren't on their home plane, Undead are sent to the Shadowfell, and Fey are sent to the Feywild_x000D_
#Cleric #Paladin</t>
  </si>
  <si>
    <t>level 3 - #abjuration Casting Time: Action Range: 120 feet Components: V, S Duration: Instantaneous 
Choose one creature, object, or magical effect within range. Any ongoing spell of level 3 or lower on the target ends. For each ongoing spell of level 4 or higher on the target, make an ability check using your spellcasting ability (DC 10 plus that spell's level). On a successful check, the spell ends. 
Using a Higher-Level Spell Slot. You automatically end a spell on the target if the spell's level is equal to or less than the level of the spell slot you use_x000D_
#Bard #Cleric #Druid #Paladin #Ranger #Sorcerer #Warlock #Wizard</t>
  </si>
  <si>
    <t>level 1 - #enchantment Casting Time: Action Range: 60 feet Components: V Duration: Instantaneous 
One creature of your choice that you can see within range hears a discordant melody in its mind. The target makes a Wisdom saving throw. On a failed save, it takes 3d6 Psychic damage and must immediately use its Reaction, if available, to move as far away from you as it can, using the safest route. On a successful save, the target takes half as much damage only. 
Using a Higher-Level Spell Slot. The damage increases by 1d6 for each spell slot level above 1_x000D_
#Bard</t>
  </si>
  <si>
    <t>level 4 - #divination ( #ritual ) Casting Time: Action or Ritual Range: Self Components: V, S, M (incense worth 25+ GP, which the spell consumes) Duration: Instantaneous 
This spell puts you in contact with a god or a god's servants. You ask one question about a specific goal, event, or activity to occur within 7 days. The DM offers a truthful reply, which might be a short phrase or cryptic rhyme. The spell doesn't account for circumstances that might change the answer, such as the casting of other spells.
If you cast the spell more than once before finishing a Long Rest, there is a cumulative 25 percent chance for each casting after the first that you get no answer_x000D_
#Cleric #Druid #Wizard</t>
  </si>
  <si>
    <t>level 1 - #transmutation Casting Time: #BonusAction Range: Self Components: V, S Duration: 1 minute 
Until the spell ends, your attacks with weapons deal an extra 1d4 Radiant damage on a hit_x000D_
#Paladin</t>
  </si>
  <si>
    <t>level 1 - #evocation Casting Time: #BonusAction, which you take immediately after hitting a target with a Melee weapon or an Unarmed Strike Range: Self Components: V Duration: Instantaneous 
The target takes an extra 2d8 Radiant damage from the attack. The damage increases by 1d8 if the target is a Fiend or an Undead. 
Using a Higher-Level Spell Slot. The damage increases by 1d8 for each spell slot level above 1_x000D_
#Paladin</t>
  </si>
  <si>
    <t>level 7 - #evocation Casting Time: #BonusAction Range: 30 feet Components: V Duration: Instantaneous 
You utter a word imbued with power from the Upper Planes. Each creature of your choice in range makes a Charisma saving throw. On a failed save, a target that has 50 Hit Points or fewer suffers an effect based on its current Hit Points, as shown in the Divine Word Effects table. Regardless of its Hit Points, a Celestial, an Elemental, a Fey, or a Fiend target that fails its save is forced back to its plane of origin (if it isn't there already) and can't return to the current plane for 24 hours by any means short of a Wish spell. 
| Hit Points | Effect                                                                   |
| ---------- | ------------------------------------------------------------------------ |
|            |                                                                          |
| 0â€“20       | The target dies.                                                         |
| 21â€“30      | The target has the Blinded, Deafened, and Stunned conditions for 1 hour. |
| 31â€“40      | The target has the Blinded and Deafened conditions for 10 minutes.       |
| 41â€“50      | The target has the Deafened condition for 1 minute                       |
#Cleric</t>
  </si>
  <si>
    <t>level 4 - #enchantment Casting Time: Action Range: 60 feet Components: V, S Duration: #Concentration, up to 1 minute
One Beast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5 (up to 10 minutes), 6 (up to 1 hour), or 7+ (up to 8 hours)_x000D_
#Druid #Ranger #Sorcerer</t>
  </si>
  <si>
    <t>level 8 - #enchantment Casting Time: Action Range: 60 feet Components: V, S Duration: #Concentration, up to 1 hour 
One creature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level 9 spell slot (up to 8 hours)._x000D_
#Bard #Sorcerer #Warlock #Wizard</t>
  </si>
  <si>
    <t>level 5 - #enchantment Casting Time: Action Range: 60 feet Components: V, S Duration: #Concentration, up to 1 minute 
One Humanoid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6 (up to 10 minutes), 7 (up to 1 hour), or 8+ (up to 8 hours)._x000D_
#Bard #Sorcerer #Wizard</t>
  </si>
  <si>
    <t>level 2 - #transmutation Casting Time: #BonusAction Range: Touch Components: V, S, M (a hot pepper) Duration: #Concentration, up to 1 minute 
You touch one willing creature, and choose Acid, Cold, Fire, Lightning, or Poison. Until the spell ends, the target can take a Magic action to exhale a 15-foot Cone. Each creature in that area makes a Dexterity saving throw, taking 3d6 damage of the chosen type on a failed save or half as much damage on a successful one. 
Using a Higher-Level Spell Slot. The damage increases by 1d6 for each spell slot level above 2._x000D_
#Sorcerer #Wizard</t>
  </si>
  <si>
    <t>level 6 - #conjuration ( #ritual )  Casting Time: 1 minute or Ritual Range: Touch Components: V, S, M (a sapphire worth 1,000+ GP) Duration: Until dispelled 
Description not available (not OGL)_x000D_
#Wizard</t>
  </si>
  <si>
    <t>level 5 - #illusion Casting Time: 1 minute Range: Special Components: V, S, M (a handful of sand) Duration: 8 hours 
You target a creature you know on the same plane of existence. You or a willing creature you touch enters a trance state to act as a dream messenger. While in the trance, the messenger is Incapacitated and has a Speed of 0. 
If the target is asleep, the messenger appears in the target's dreams and can converse with the target as long as it remains asleep, through the spell's duration. The messenger can also shape the dream's environment, creating landscapes, objects, and other images. The messenger can emerge from the trance at any time, ending the spell. The target recalls the dream perfectly upon waking. 
If the target is awake when you cast the spell, the messenger knows it and can either end the trance (and the spell) or wait for the target to sleep, at which point the messenger enters its dreams. You can make the messenger terrifying to the target. If you do so, the messenger can deliver a message of no more than ten words, and then the target makes a Wisdom saving throw. On a failed save, the target gains no benefit from its rest, and it takes 3d6 Psychic damage when it wakes up._x000D_
#Bard #Warlock #Wizard</t>
  </si>
  <si>
    <t>level 0 - #transmutation Casting Time: Action Range: 30 feet Components: V, S Duration: Instantaneous 
**Weather Sensor.** You create a Tiny, harmless sensory effect that predicts what the weather will be at your location for the next 24 hours. The effect might manifest as a golden orb for clear skies, a cloud for rain, falling snowflakes for snow, and so on. This effect persists for 1 round. 
**Bloom.** You instantly make a flower blossom, a seed pod open, or a leaf bud bloom. 
**Sensory Effect.** You create a harmless sensory effect, such as falling leaves, spectral dancing fairies, a gentle breeze, the sound of an animal, or the faint odor of skunk. The effect must fit in a 5-foot Cube. 
**Fire Play.** You light or snuff out a candle, a torch, or a campfire.
#Druid</t>
  </si>
  <si>
    <t>level 8 - #transmutation Casting Time: Action Range: 500 feet Components: V, S, M (a fractured rock) Duration: #Concentration, up to 1 minute 
Choose a point on the ground that you can see within range. For the duration, an intense tremor rips through the ground in a 100- foot-radius circle centered on that point. The ground there is Difficult Terrain. 
When you cast this spell and at the end of each of your turns for the duration, each creature on the ground in the area makes a Dexterity saving throw. On a failed save, a creature has the Prone condition, and its #Concentration is broken. You can also cause the effects below. 
**Fissures.** A total of 1d6 fissures open in the spell's area at the end of the turn you cast it. You choose the fissures' locations, which can't be under structures. Each fissure is 1d10 x 10 feet deep and 10 feet wide, and it extends from one edge of the spell's area to another edge. A creature in the same space as a fissure must succeed on a Dexterity saving throw or fall in. A creature that successfully saves moves with the fissure's edge as it opens. 
**Structures.** The tremor deals 50 Bludgeoning damage to any structure in contact with the ground in the area when you cast the spell and at the end of each of your turns until the spell ends. If a structure drops to 0 Hit Points, it collapses. 
A creature within a distance from a collapsing structure equal to half the structure's height makes a Dexterity saving throw. On a failed save, the creature takes 12d6 Bludgeoning damage, has the Prone condition, and is buried in the rubble, requiring a DC 20 Strength (Athletics) check as an action to escape. On a successful save, the creature takes half as much damage only._x000D_
#Cleric #Druid #Sorcerer</t>
  </si>
  <si>
    <t>level 0 - #evocation Casting Time: Action Range: 120 feet Components: V, S Duration: Instantaneous 
You hurl a beam of crackling energy. Make a ranged spell attack against one creature or object in range. On a hit, the target takes 1d10 Force damage. 
**Cantrip Upgrade.** The spell creates two beams at level 5, three beams at level 11, and four beams at level 17. You can direct the beams at the same target or at different ones. Make a separate attack roll for each beam
#Warlock</t>
  </si>
  <si>
    <t>level 3 - #transmutation Casting Time: Action Range: Touch Components: V, S Duration: #Concentration, up to 1 hour 
A nonmagical weapon you touch becomes a magic weapon. Choose one of the following damage types: Acid, Cold, Fire, Lightning, or Thunder. For the duration, the weapon has a +1 bonus to attack rolls and deals an extra 1d4 damage of the chosen type when it hits. 
Using a Higher-Level Spell Slot. If you use a level 5-6 spell slot, the bonus to attack rolls increases to +2, and the extra damage increases to 2d4. If you use a level 7+ spell slot, the bonus increases to +3, and the extra damage increases to 3d4_x000D_
#Druid #Paladin #Ranger</t>
  </si>
  <si>
    <t>level 0 - #transmutation Casting Time: Action Range: 30 feet Components: V, S Duration: Instantaneous 
You exert control over the elements, creating one of the following effects within range: 
**Beckon Air.** You create a breeze strong enough to ripple cloth, stir dust, rustle leaves, and close open doors and shutters, all in a 5-foot Cube. Doors and shutters being held open by someone or something aren't affected. 
**Beckon Earth.** You create a thin shroud of dust or sand that covers surfaces in a 5-foot-square area, or you cause a single word to appear in your handwriting in a patch of dirt or sand. 
**Beckon Fire.** You create a thin cloud of harmless embers and colored, scented smoke in a 5-foot Cube. You choose the color and scent, and the embers can light candles, torches, or lamps in that area. The smoke's scent lingers for 1 minute. 
**Beckon Water.** You create a spray of cool mist that lightly dampens creatures and objects in a 5-foot Cube. Alternatively, you create 1 cup of clean water either in an open container or on a surface, and the water evaporates in 1 minute. 
**Sculpt Element.** You cause dirt, sand, fire, smoke, mist, or water that can fit in a 1-foot Cube to assume a crude shape (such as that of a creature or an object) for 1 hour._x000D_
#Druid #Sorcerer #Wizard</t>
  </si>
  <si>
    <t>level 2 - #transmutation Casting Time: Action Range: Touch Components: V, S, M (fur or a feather) Duration: #Concentration, up to 1 hour 
You touch a creature and choose Strength, Dexterity, Intelligence, Wisdom, or Charisma. For the duration, the target has Advantage on ability checks using the chosen ability. 
Using a Higher-Level Spell Slot. You can target one additional creature for each spell slot level above 2. You can choose a different ability for each target_x000D_
#Bard #Cleric #Druid #Ranger #Sorcerer #Wizard</t>
  </si>
  <si>
    <t xml:space="preserve">level 2 - #transmutation Casting Time: Action Range: 30 feet Components: V, S, M (a pinch of powdered iron) Duration: #Concentration, up to 1 minute 
For the duration, the spell enlarges or reduces a creature or an object you can see within range (see the chosen effect below). A targeted object must be neither worn nor carried. If the target is an unwilling creature, it can make a Constitution saving throw. On a successful save, the spell has no effect. 
Everything that a targeted creature is wearing and carrying changes size with it. Any item it drops returns to normal size at once. A thrown weapon or piece of ammunition returns to normal size immediately after it hits or misses a target. 
**Enlarge.** The target's size increases by one categoryâ€”from Medium to Large, for example. The target also has Advantage on Strength checks and Strength saving throws. The target's attacks with its enlarged weapons or Unarmed Strikes deal an extra 1d4 damage on a hit. 
**Reduce.** The target's size decreases by one categoryâ€”from Medium to Small, for example. The target also has Disadvantage on Strength checks and Strength saving throws. The target's attacks with its reduced weapons or Unarmed Strikes deal 1d4 less damage on a hit (this can't reduce the damage below 1)_x000D_
</t>
  </si>
  <si>
    <t>level 1 - #conjuration Casting Time: #BonusAction, which you take immediately after hitting a creature with a weapon Range: Self Components: V Duration: #Concentration, up to 1 minute 
As you hit the target, grasping vines appear on it, and it makes a Strength saving throw. A Large or larger creature has Advantage on this save. On a failed save, the target has the Restrained condition until the spell ends. On a successful save, the vines shrivel away, and the spell ends. 
While Restrained, the target takes 1d6 Piercing damage at the start of each of its turns. The target or a creature within reach of it can take an action to make a Strength (Athletics) check against your spell save DC. On a success, the spell ends. 
Using a Higher-Level Spell Slot. The damage increases by 1d6 for each spell slot level above 1_x000D_
#Ranger</t>
  </si>
  <si>
    <t>level 1 - #conjuration Casting Time: Action Range: 90 feet Components: V, S Duration: #Concentration, up to 1 minute 
Grasping plants sprout from the ground in a 20-foot square within range. For the duration, these plants turn the ground in the area into Difficult Terrain. They disappear when the spell ends. Each creature (other than you) in the area when you cast the spell must succeed on a Strength saving throw or have the Restrained condition until the spell ends. A Restrained creature can take an action to make a Strength (Athletics) check against your spell save DC. On a success, it frees itself from the grasping plants and is no longer Restrained by them._x000D_
#Druid #Ranger</t>
  </si>
  <si>
    <t>level 2 - #enchantment Casting Time: Action Range: 60 feet Components: V, S Duration: #Concentration, up to 1 minute 
You weave a distracting string of words, causing creatures of your choice that you can see within range to make a Wisdom saving throw. Any creature you or your companions are fighting automatically succeeds on this save. On a failed save, a target has a âˆ’10 penalty to Wisdom (Perception) checks and Passive Perception until the spell ends._x000D_
#Bard #Warlock</t>
  </si>
  <si>
    <t>level 7 - #conjuration Casting Time: Action Range: Self Components: V, S Duration: Up to 8 hours 
You step into the border regions of the Ethereal Plane, where it overlaps with your current plane. You remain in the Border Ethereal for the duration. During this time, you can move in any direction. If you move up or down, every foot of movement costs an extra foot. You can perceive the plane you left, which looks gray, and you can't see anything there more than 60 feet away. While on the Ethereal Plane, you can affect and be affected only by creatures, objects, and effects on that plane. Creatures that aren't on the Ethereal Plane can't perceive or interact with you unless a feature gives them the ability to do so. 
When the spell ends, you return to the plane you left in the spot that corresponds to your space in the Border Ethereal. If you appear in an occupied space, you are shunted to the nearest unoccupied space and take Force damage equal to twice the number of feet you are moved. 
This spell ends instantly if you cast it while you are on the Ethereal Plane or a plane that doesn't border it, such as one of the Outer Planes. 
Using a Higher-Level Spell Slot. You can target up to three willing creatures (including yourself) for each spell slot level above 7. The creatures must be within 10 feet of you when you cast the spell._x000D_
#Bard #Cleric #Sorcerer #Warlock #Wizard</t>
  </si>
  <si>
    <t>level 4 - #conjuration Casting Time: Action Range: 90 feet Components: V, S, M (a tentacle) Duration: #Concentration, up to 1 minute 
Squirming, ebony tentacles fill a 20-foot square on ground that you can see within range. For the duration, these tentacles turn the ground in that area into Difficult Terrain. 
Each creature in that area makes a Strength saving throw. On a failed save, it takes 3d6 Bludgeoning damage, and it has the Restrained condition until the spell ends. A creature also makes that save if it enters the area or ends it turn there. A creature makes that save only once per turn. 
A Restrained creature can take an action to make a Strength (Athletics) check against your spell save DC, ending the condition on itself on a success._x000D_
#Wizard</t>
  </si>
  <si>
    <t>level 1 - #transmutation Casting Time: #BonusAction Range: Self Components: V, S Duration: #Concentration, up to 10 minutes 
You take the Dash action, and until the spell ends, you can take that action again as a Bonus Action_x000D_
#Sorcerer #Warlock #Wizard</t>
  </si>
  <si>
    <t>level 6 - #necromancy Casting Time: Action Range: Self Components: V, S Duration: #Concentration, up to 1 minute 
For the duration, your eyes become an inky void. One creature of your choice within 60 feet of you that you can see must succeed on a Wisdom saving throw or be affected by one of the following effects of your choice for the duration. 
On each of your turns until the spell ends, you can take a Magic action to target another creature but can't target a creature again if it has succeeded on a save against this casting of the spell. 
**Asleep.** The target has the Unconscious condition. It wakes up if it takes any damage or if another creature takes an action to shake it awake. 
**Panicked.** The target has the Frightened condition. On each of its turns, the Frightened target must take the Dash action and move away from you by the safest and shortest route available. If the target moves to a space at least 60 feet away from you where it can't see you, this effect ends. 
**Sickened.** The target has the Poisoned condition_x000D_
#Bard #Sorcerer #Warlock #Wizard</t>
  </si>
  <si>
    <t>level 4 - #transmutation Casting Time: 10 minutes Range: 120 feet Components: V, S Duration: Instantaneous 
You convert raw materials into products of the same material. For example, you can fabricate a wooden bridge from a clump of trees, a rope from a patch of hemp, or clothes from flax or wool. Choose raw materials that you can see within range. You can fabricate a Large or smaller object (contained within a 10-foot Cube or eight connected 5-foot Cubes) given a sufficient quantity of material. If you're working with metal, stone, or another mineral substance, however, the fabricated object can be no larger than Medium (contained within a 5-foot Cube). The quality of any fabricated objects is based on the quality of the raw materials. 
Creatures and magic items can't be created by this spell. You also can't use it to create items that require a high degree of skillâ€”such as weapons and armorâ€”unless you have proficiency with the type of Artisan's Tools used to craft such objects_x000D_
#Wizard</t>
  </si>
  <si>
    <t>level 1 - #evocation Casting Time: Action Range: 60 feet Components: V Duration: #Concentration, up to 1 minute 
Objects in a 20-foot Cube within range are outlined in blue, green, or violet light (your choice). Each creature in the Cube is also outlined if it fails a Dexterity saving throw. For the duration, objects and affected creatures shed Dim Light in a 10-foot radius and can't benefit from the Invisible condition. 
Attack rolls against an affected creature or object have Advantage if the attacker can see it._x000D_
#Bard #Druid</t>
  </si>
  <si>
    <t>level 1 - #necromancy Casting Time: Action Range: Self Components: V, S, M (a drop of alcohol) Duration: Instantaneous 
You gain 2d4 + 4 Temporary Hit Points. 
Using a Higher-Level Spell Slot. You gain 5 additional Temporary Hit Points for each spell slot level above 1._x000D_
#Sorcerer #Wizard</t>
  </si>
  <si>
    <t>level 3 - #illusion Casting Time: Action Range: Self Components: V, S, M (a white feather) Duration: #Concentration, up to 1 minute 
Each creature in a 30-foot Cone must succeed on a Wisdom saving throw or drop whatever it is holding and have the Frightened condition for the duration. 
A Frightened creature takes the Dash action and moves away from you by the safest route on each of its turns unless there is nowhere to move. If the creature ends its turn in a space where it doesn't have line of sight to you, the creature makes a Wisdom saving throw. On a successful save, the spell ends on that creature._x000D_
#Bard #Sorcerer #Warlock #Wizard</t>
  </si>
  <si>
    <t>level 1 - #transmutation Casting Time: #Reaction, which you take when you or a creature you can see within 60 feet of you falls Range: 60 feet Components: V, M (a small feather or piece of down) Duration: 1 minute 
Choose up to five falling creatures within range. A falling creature's rate of descent slows to 60 feet per round until the spell ends. If a creature lands before the spell ends, the creature takes no damage from the fall, and the spell ends for that creature._x000D_
#Bard #Sorcerer #Wizard</t>
  </si>
  <si>
    <t>level 3 - #necromancy ( #ritual ) Casting Time: Action or Ritual Range: Touch Components: V, S, M (a pinch of graveyard dirt) Duration: 1 hour 
You touch a willing creature and put it into a cataleptic state that is indistinguishable from death. 
For the duration, the target appears dead to outward inspection and to spells used to determine the target's status. The target has the Blinded and Incapacitated conditions, and its Speed is 0. 
The target also has Resistance to all damage except Psychic damage, and it has Immunity to the Poisoned condition_x000D_
#Bard #Cleric #Druid #Wizard</t>
  </si>
  <si>
    <t>level 1 - #conjuration ( #ritual ) Casting Time: 1 hour or Ritual Range: 10 feet Components: V, S, M (burning incense worth 10+ GP, which the spell consumes) Duration: Instantaneous 
You gain the service of a familiar, a spirit that takes an animal form you choose: B**at, Cat, Frog, Hawk, Lizard, Octopus, Owl, Rat, Raven, Spider, Weasel,** or another Beast that has a Challenge Rating of 0. Appearing in an unoccupied space within range, the familiar has the statistics of the chosen form, though it is a Celestial, Fey, or Fiend (your choice) instead of a Beast. Your familiar acts independently of you, but it obeys your commands. Telepathic Connection. While your familiar is within 100 feet of you, you can communicate with it telepathically. Additionally, as a Bonus Action, you can see through the familiar's eyes and hear what it hears until the start of your next turn, gaining the benefits of any special senses it has. 
Finally, when you cast a spell with a range of touch, your familiar can deliver the touch. Your familiar must be within 100 feet of you, and it must take a Reaction to deliver the touch when you cast the spell. 
**Combat.** The familiar is an ally to you and your allies. It rolls its own Initiative and acts on its own turn. A familiar can't attack, but it can take other actions as normal. Disappearance of the Familiar. When the familiar drops to 0 Hit Points, it disappears. It reappears after you cast this spell again. As a Magic action, you can temporarily dismiss the familiar to a pocket dimension. Alternatively, you can dismiss it forever. As a Magic action while it is temporarily dismissed, you can cause it to reappear in an unoccupied space within 30 feet of you. Whenever the familiar drops to 0 Hit Points or disappears into the pocket dimension, it leaves behind in its space anything it was wearing or carrying. 
**One Familiar Only.** You can't have more than one familiar at a time. If you cast this spell while you have a familiar, you instead cause it to adopt a new eligible form_x000D_
#Wizard</t>
  </si>
  <si>
    <t>level 2 - #conjuration Casting Time: Action Range: 30 feet Components: V, S Duration: Instantaneous 
You summon an otherworldly being that appears as a loyal steed in an unoccupied space of your choice within range. This creature uses the **Otherworldly Steed** stat block. If you already have a steed from this spell, the steed is replaced by the new one. The steed resembles a Large, rideable animal of your choice, such as a horse, a camel, a dire wolf, or an elk. Whenever you cast the spell, choose the steed's creature type-Celestial, Fey, or Fiend which determines certain traits in the stat block. 
**Combat.** The steed is an ally to you and your allies. In combat, it shares your Initiative count, and it functions as a controlled mount while you ride it (as defined in the rules on mounted combat). If you have the Incapacitated condition, the steed takes its turn immediately after yours and acts independently, focusing on protecting you. 
**Disappearance of the Steed.** The steed disappears if it drops to 0 Hit Points or if you die. When it disappears, it leaves behind anything it was wearing or carrying. If you cast this spell again, you decide whether you summon the steed that disappeared or a different one. 
Using a Higher-Level Spell Slot. Use the spell slot's level for the spell's level in the stat block._x000D_
#Paladin</t>
  </si>
  <si>
    <t>level 6 - #divination Casting Time: 1 minute Range: Self Components: V, S, M (a set of divination tools-such as cards or runes-worth 100+ GP) Duration: #Concentration, up to 1 day 
You magically sense the most direct physical route to a location you name. You must be familiar with the location, and the spell fails if you name a destination on another plane of existence, a moving destination (such as a mobile fortress), or an unspecific destination (such as â€œa green dragon's lairâ€). 
For the duration, as long as you are on the same plane of existence as the destination, you know how far it is and in what direction it lies. Whenever you face a choice of paths along the way there, you know which path is the most direct._x000D_
#Bard #Cleric #Druid</t>
  </si>
  <si>
    <t>level 2 - #divination Casting Time: Action Range: 120 feet Components: V, S Duration: Instantaneous 
You sense any trap within range that is within line of sight. A trap, for the purpose of this spell, includes any object or mechanism that was created to cause damage or other danger. Thus, the spell would sense the Alarm or Glyph of Warding spell or a mechanical pit trap, but it wouldn't reveal a natural weakness in the floor, an unstable ceiling, or a hidden sinkhole. 
This spell reveals that a trap is present but not its location. You do learn the general nature of the danger posed by a trap you sense.
#Cleric #Druid #Ranger</t>
  </si>
  <si>
    <t>level 7 - #necromancy Casting Time: Action Range: 60 feet Components: V, S Duration: Instantaneous 
You unleash negative energy toward a creature you can see within range. The target makes a Constitution saving throw, taking 7d8 + 30 Necrotic damage on a failed save or half as much damage on a successful one. 
A Humanoid killed by this spell rises at the start of your next turn as a Zombie that follows your verbal orders._x000D_
#Sorcerer #Warlock #Wizard</t>
  </si>
  <si>
    <t>level 0 - #evocation Casting Time: Action Range: 120 feet Components: V, S Duration: Instantaneous 
You hurl a mote of fire at a creature or an object within range. Make a ranged spell attack against the target. On a hit, the target takes 1d10 Fire damage. A flammable object hit by this spell starts burning if it isn't being worn or carried. 
**Cantrip Upgrade.** The damage increases by 1d10 when you reach levels 5 (2d10), 11 (3d10), and 17 (4d10)_x000D_
#Sorcerer #Wizard</t>
  </si>
  <si>
    <t>level 4 - #evocation Casting Time: Action Range: Self Components: V, S, M (a bit of phosphorus or a firefly) Duration: 10 minutes 
Wispy flames wreathe your body for the duration, shedding Bright Light in a 10-foot radius and Dim Light for an additional 10 feet. The flames provide you with a warm shield or a chill shield, as you choose. The warm shield grants you Resistance to Cold damage, and the chill shield grants you Resistance to Fire damage. 
In addition, whenever a creature within 5 feet of you hits you with a melee attack roll, the shield erupts with flame. The attacker takes 2d8 Fire damage from a warm shield or 2d8 Cold damage from a chill shield._x000D_
#Druid #Sorcerer #Wizard</t>
  </si>
  <si>
    <t>level 3 - #evocation Casting Time: Action Range: 150 feet Components: V, S, M (a ball of bat guano and sulfur) Duration: Instantaneous 
A bright streak flashes from you to a point you choose within range and then blossoms with a low roar into a fiery explosion. Each creature in a 20-foot-radius Sphere centered on that point makes a Dexterity saving throw, taking 8d6 Fire damage on a failed save or half as much damage on a successful one. Flammable objects in the area that aren't being worn or carried start burning. 
Using a Higher-Level Spell Slot. The damage increases by 1d6 for each spell slot level above 3._x000D_
#Sorcerer #Wizard</t>
  </si>
  <si>
    <t>level 2 - #evocation Casting Time: #BonusAction Range: Self Components: V, S, M (a sumac leaf) Duration: #Concentration, up to 10 minutes 
You evoke a fiery blade in your free hand. The blade is similar in size and shape to a scimitar, and it lasts for the duration. If you let go of the blade, it disappears, but you can evoke it again as a Bonus Action. 
As a Magic action, you can make a melee spell attack with the fiery blade. On a hit, the target takes Fire damage equal to 3d6 plus your spellcasting ability modifier. 
The flaming blade sheds Bright Light in a 10-foot radius and Dim Light for an additional 10 feet. 
Using a Higher-Level Spell Slot. The damage increases by 1d6 for each spell slot level above 2._x000D_
#Druid #Sorcerer</t>
  </si>
  <si>
    <t>level 5 - #evocation Casting Time: Action Range: 60 feet Components: V, S, M (a pinch of sulfur) Duration: Instantaneous 
A vertical column of brilliant fire roars down from above. Each creature in a 10-foot-radius, 40-foot-high Cylinder centered on a point within range makes a Dexterity saving throw, taking 5d6 Fire damage and 5d6 Radiant damage on a failed save or half as much damage on a successful one. 
Using a Higher-Level Spell Slot. The Fire damage and the Radiant damage increase by 1d6 for each spell slot level above 5_x000D_
#Cleric</t>
  </si>
  <si>
    <t>level 2 - #conjuration Casting Time: Action Range: 60 feet Components: V, S, M (a ball of wax) Duration: #Concentration, up to 1 minute 
You create a 5-foot-diameter sphere of fire in an unoccupied space on the ground within range. It lasts for the duration. Any creature that ends its turn within 5 feet of the sphere makes a Dexterity saving throw, taking 2d6 Fire damage on a failed save or half as much damage on a successful one. 
As a Bonus Action, you can move the sphere up to 30 feet, rolling it along the ground. If you move the sphere into a creature's space, that creature makes the save against the sphere, and the sphere stops moving for the turn. 
When you move the sphere, you can direct it over barriers up to 5 feet tall and jump it across pits up to 10 feet wide. Flammable objects that aren't being worn or carried start burning if touched by the sphere, and it sheds Bright Light in a 20-foot radius and Dim Light for an additional 20 feet. 
Using a Higher-Level Spell Slot. The damage increases by 1d6 for each spell slot level above 2._x000D_
#Druid #Sorcerer #Wizard</t>
  </si>
  <si>
    <t>level 6 - #transmutation Casting Time: Action Range: 60 feet Components: V, S, M (a cockatrice feather) Duration: #Concentration, up to 1 minute 
You attempt to turn one creature that you can see within range into stone. The target makes a Constitution saving throw. On a failed save, it has the Restrained condition for the duration. On a successful save, its Speed is 0 until the start of your next turn. Constructs automatically succeed on the save. 
A Restrained target makes another Constitution saving throw at the end of each of its turns. If it successfully saves against this spell three times, the spell ends. If it fails its saves three times, it is turned to stone and has the Petrified condition for the duration. The successes and failures needn't be consecutive; keep track of both until the target collects three of a kind. 
If you maintain your #Concentration on this spell for the entire possible duration, the target is Petrified until the condition is ended by Greater Restoration or similar magic._x000D_
#Druid #Sorcerer #Wizard</t>
  </si>
  <si>
    <t>level 3 - #transmutation Casting Time: Action Range: Touch Components: V, S, M (a feather) Duration: #Concentration, up to 10 minutes 
You touch a willing creature. For the duration, the target gains a Fly Speed of 60 feet and can hover. When the spell ends, the target falls if it is still aloft unless it can stop the fall. 
Using a Higher-Level Spell Slot. You can target one additional creature for each spell slot level above 3_x000D_
#Sorcerer #Warlock #Wizard</t>
  </si>
  <si>
    <t>level 1 - #conjuration Casting Time: Action Range: 120 feet Components: V, S Duration: #Concentration, up to 1 hour 
You create a 20-foot-radius Sphere of fog centered on a point within range. The Sphere is Heavily Obscured. It lasts for the duration or until a strong wind (such as one created by Gust of Wind) disperses it. 
Using a Higher-Level Spell Slot. The fog's radius increases by 20 feet for each spell slot level above 1_x000D_
#Druid #Ranger #Sorcerer #Wizard</t>
  </si>
  <si>
    <t>level 6 - #abjuration ( #ritual ) Casting Time: 10 minutes or Ritual Range: Touch Components: V, S, M (ruby dust worth 1,000+ GP) Duration: 1 day 
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the Ethereal Plane, the Feywild, the Shadowfell, or the Plane Shift spell.
In addition, the spell damages types of creatures that you choose when you cast it. Choose one or more of the following: Aberrations, Celestials, Elementals, Fey, Fiends, and Undead. When a creature of a chosen type enters the spell's area for the first time on a turn or ends its turn there, the creature takes 5d10 Radiant or Necrotic damage (your choice when you cast this spell).
You can designate a password when you cast the spell.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
#Cleric</t>
  </si>
  <si>
    <t>level 7 - #evocation Casting Time: Action Range: 100 feet Components: V, S, M (ruby dust worth 1,500+ GP, which the spell consumes) Duration: 1 hour 
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from the area. 
When you cast the spell, any creature that is completely inside the cage's area is trapped. Creatures only partially within the area, or those too large to fit inside it, are pushed away from the center of the area until they are completely outside it. 
A creature inside the cage can't leave it by nonmagical means. If the creature tries to use teleportation or interplanar travel to leave, it must first make a Charisma saving throw. On a successful save, the creature can use that magic to exit the cage. On a failed save, the creature doesn't exit the cage and wastes the spell or effect. The cage also extends into the Ethereal Plane, blocking ethereal travel. This spell can't be dispelled by Dispel Magic_x000D_
#Bard #Warlock #Wizard</t>
  </si>
  <si>
    <t>level 9 - #divination Casting Time: 1 minute Range: Touch Components: V, S, M (a hummingbird feather) Duration: 8 hours 
You touch a willing creature and bestow a limited ability to see into the immediate future. For the duration, the target has Advantage on D20 Tests, and other creatures have Disadvantage on attack rolls against it. The spell ends early if you cast it again_x000D_
#Bard #Druid #Warlock #Wizard</t>
  </si>
  <si>
    <t>level 4 - #evocation Casting Time: Action Range: Self Components: V, S Duration: #Concentration, up to 10 minutes 
A cool light wreathes your body for the duration, emitting Bright Light in a 20-foot radius and Dim Light for an additional 20 feet. Until the spell ends, you have Resistance to Radiant damage, and your melee attacks deal an extra 2d6 Radiant damage on a hit.
In addition, immediately after you take damage from a creature you can see within 60 feet of yourself, you can take a Reaction to force the creature to make a Constitution saving throw. On a failed save, the creature has the Blinded condition until the end of your next turn._x000D_
#Bard #Druid</t>
  </si>
  <si>
    <t>level 4 - #abjuration Casting Time: Action Range: Touch Components: V, S, M (a leather strap) Duration: 1 hour 
You touch a willing creature. For the duration, the target's movement is unaffected by Difficult Terrain, and spells and other magical effects can neither reduce the target's Speed nor cause the target to have the Paralyzed or Restrained conditions. The target also has a Swim Speed equal to its Speed. 
In addition, the target can spend 5 feet of movement to automatically escape from nonmagical restraints, such as manacles or a creature imposing the Grappled condition on it. 
Using a Higher-Level Spell Slot. You can target one additional creature for each spell slot level above 4._x000D_
#Bard #Cleric #Druid #Ranger</t>
  </si>
  <si>
    <t>level 0 - #enchantment Casting Time: Action Range: 10 feet Components: S, M (some makeup) Duration: #Concentration, up to 1 minute 
You magically emanate a sense of friendship toward one creature you can see within range. The target must succeed on a Wisdom saving throw or have the Charmed condition for the duration. The target succeeds automatically if it isn't a Humanoid, if you're fighting it, or if you have cast this spell on it within the past 24 hours. 
The spell ends early if the target takes damage or if you make an attack roll, deal damage, or force anyone to make a saving throw. When the spell ends, the target knows it was Charmed by you._x000D_
#Bard #Sorcerer #Warlock #Wizard</t>
  </si>
  <si>
    <t>level 3 - #transmutation Casting Time: Action Range: Touch Components: V, S, M (a bit of gauze) Duration: #Concentration, up to 1 hour 
A willing creature you touch shape-shifts, along with everything it's wearing and carrying, into a misty cloud for the duration. The spell ends on the target if it drops to 0 Hit Points or if it takes a Magic action to end the spell on itself. 
While in this form, the target's only method of movement is a Fly Speed of 10 feet, and it can hover. The target can enter and occupy the space of another creature. The target has Resistance to Bludgeoning, Piercing, and Slashing damage; it has Immunity to the Prone condition; and it has Advantage on Strength, Dexterity, and Constitution saving throws. The target can pass through narrow openings, but it treats liquids as though they were solid surfaces. 
The target can't talk or manipulate objects, and any objects it was carrying or holding can't be dropped, used, or otherwise interacted with. Finally, the target can't attack or cast spells. 
Using a Higher-Level Spell Slot. You can target one additional creature for each spell slot level above 3._x000D_
#Sorcerer #Warlock #Wizard</t>
  </si>
  <si>
    <t>level 9 - #conjuration Casting Time: Action Range: 60 feet Components: V, S, M (a diamond worth 5,000+ GP) Duration: #Concentration, up to 1 minute 
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and the portal's destination is visible through it.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next to the named creature and transports it to the nearest unoccupied space on your side of the portal. You gain no special power over the creature, and it is free to act as the DM deems appropriate. It might leave, attack you, or help you_x000D_
#Cleric #Sorcerer #Warlock #Wizard</t>
  </si>
  <si>
    <t>level 5 - #enchantment Casting Time: 1 minute Range: 60 feet Components: V Duration: 30 days 
You give a verbal command to a creature that you can see within range, ordering it to carry out some service or refrain from an action or a course of activity as you decide. The target must succeed on a Wisdom saving throw or have the Charmed condition for the duration. The target automatically succeeds if it can't understand your command. 
While Charmed, the creature takes 5d10 Psychic damage if it acts in a manner directly counter to your command. It takes this damage no more than once each day. 
You can issue any command you choose, short of an activity that would result in certain death. Should you issue a suicidal command, the spell ends. 
A *Remove Curse, Greater Restoration,* or *Wish* spell ends this spell. 
Using a Higher-Level Spell Slot. If you use a level 7 or 8 spell slot, the duration is 365 days. If you use a level 9 spell slot, the spell lasts until it is ended by one of the spells mentioned above._x000D_
#Bard #Cleric #Druid #Paladin #Wizard</t>
  </si>
  <si>
    <t>level 2 - #necromancy ( #ritual ) Casting Time: Action or Ritual Range: Touch Components: V, S, M (2 copper pieces, which the spell consume) Duration: 10 days 
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Dead_x000D_
#Cleric #Paladin #Wizard</t>
  </si>
  <si>
    <t>level 4 - #conjuration Casting Time: Action Range: 60 feet Components: V, S Duration: #Concentration, up to 10 minutes 
You summon a giant centipede, spider, or wasp (chosen when you cast the spell). It manifests in an unoccupied space you can see within range and uses the **Giant Insect** stat block. The form you choose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t>
  </si>
  <si>
    <t>level 8 - #enchantment Casting Time: Action Range: Self Components: V Duration: 1 hour 
Until the spell ends, when you make a Charisma check, you can replace the number you roll with a 15. Additionally, no matter what you say, magic that would determine if you are telling the truth indicates that you are being truthful._x000D_
#Bard #Warlock</t>
  </si>
  <si>
    <t>level 6 - #abjuration Casting Time: Action Range: Self Components: V, S, M (a glass bead) Duration: #Concentration, up to 1 minute 
An immobile, shimmering barrier appears in a 10-foot Emanation around you and remains for the duration.
Any spell of level 5 or lower cast from outside the barrier can't affect anything within it. Such a spell can target creatures and objects within the barrier, but the spell has no effect on them. Similarly, the area within the barrier is excluded from areas of effect created by such spells. 
Using a Higher-Level Spell Slot. The barrier blocks spells of 1 level higher for each spell slot level above 6._x000D_
#Sorcerer #Wizard</t>
  </si>
  <si>
    <t>level 3 - #abjuration Casting Time: 1 hour Range: Touch Components: V, S, M (powdered diamond worth 200+ GP, which the spell consumes) Duration: Until dispelled or triggered You inscribe a glyph that later unleashes a magical effect. 
You inscribe it either on a surface (such as a table or a section of floor) or within an object that can be closed (such as a book or chest) to conceal the glyph. The glyph can cover an area no larger than 10 feet in diameter. If the surface or object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whether it's an explosive rune or a spell glyph, as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Once a glyph is triggered, this spell ends. You can refine the trigger so that only creatures of certain types activate it (for example, the glyph could be set to affect Aberrations). You can also set conditions for creatures that don't trigger the glyph, such as those who say a certain password. 
**Explosive Rune.** When triggered, the glyph erupts with magical energy in a 20-foot-radius Sphere centered on the glyph. Each creature in the area makes a Dexterity saving throw. A creature takes 5d8 Acid, Cold, Fire, Lightning, or Thunder damage (your choice when you create the glyph) on a failed save or half as much damage on a successful one. 
**Spell Glyph.** You can store a prepared spell of level 3 or lower in the glyph by casting it as part of creating the glyph. The spell must target a single creature or an area. The spell being stored has no immediate effect when cast in this way. When the glyph is triggered, the stored spell takes effect.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 
Using a Higher-Level Spell Slot. The damage of an explosive rune increases by 1d8 for each spell slot level above 3. If you create a spell glyph, you can store any spell of up to the same level as the spell slot you use for the Glyph of Warding._x000D_
#Bard #Cleric #Wizard</t>
  </si>
  <si>
    <t>level 1 - #conjuration Casting Time: Action Range: Self Components: V, S, M (a sprig of mistletoe) Duration: 24 hours 
Ten berries appear in your hand and are infused with magic for the duration. A creature can take a Bonus Action to eat one berry. Eating a berry restores 1 Hit Point, and the berry provides enough nourishment to sustain a creature for one day. 
Uneaten berries disappear when the spell ends._x000D_
#Druid #Ranger</t>
  </si>
  <si>
    <t>level 4 - #conjuration Casting Time: #BonusAction Range: 60 feet Components: V, S Duration: #Concentration, up to 1 minute 
You conjure a vine that sprouts from a surface in an unoccupied space that you can see within range. The vine lasts for the duration. Make a melee spell attack against a creature within 30 feet of the vine. On a hit, the target takes 4d8 Bludgeoning damage and is pulled up to 30 feet toward the vine; if the target is Huge or smaller, it has the Grappled condition (escape DC equal to your spell save DC). The vine can grapple only one creature at a time, and you can cause the vine to release a Grappled creature (no action required). 
As a Bonus Action on your later turns, you can repeat the attack against a creature within 30 feet of the vine. 
Using a Higher-Level Spell Slot. The number of creatures the vine can grapple increases by one for each spell slot level above 4._x000D_
#Druid #Ranger</t>
  </si>
  <si>
    <t>level 1 - #conjuration Casting Time: Action Range: 60 feet Components: V, S, M (a bit of pork rind or butter) Duration: 1 minute 
Nonflammable grease covers the ground in a 10-foot square centered on a point within range and turns it into Difficult Terrain for the duration. 
When the grease appears, each creature standing in its area must succeed on a Dexterity saving throw or have the Prone condition. A creature that enters the area or ends its turn there must also succeed on that save or fall Prone._x000D_
#Sorcerer #Wizard</t>
  </si>
  <si>
    <t>level 4 - #illusion Casting Time: Action Range: Touch Components: V, S Duration: #Concentration, up to 1 minute 
A creature you touch has the Invisible condition until the spell ends._x000D_
#Bard #Sorcerer #Wizard</t>
  </si>
  <si>
    <t>level 5 - #abjuration Casting Time: Action Range: Touch Components: V, S, M (diamond dust worth 100+ GP, which the spell consumes) Duration: Instantaneous 
You touch a creature and magically remove one of the following effects from it: 
â€¢ 1 Exhaustion level 
â€¢ The Charmed or Petrified condition 
â€¢ A curse, including the target's Attunement to a cursed magic item 
â€¢ Any reduction to one of the target's ability scores 
â€¢ Any reduction to the target's Hit Point maximum_x000D_
#Bard #Cleric #Druid #Paladin #Ranger</t>
  </si>
  <si>
    <t>level 4 - #conjuration Casting Time: Action Range: 30 feet Components: V Duration: 8 hours 
A Large spectral guardian appears and hovers for the duration in an unoccupied space that you can see within range. The guardian occupies that space and is invulnerable, and it appears in a form appropriate for your deity or pantheon. 
Any enemy that moves to a space within 10 feet of the guardian for the first time on a turn or starts its turn there makes a Dexterity saving throw, taking 20 Radiant damage on a failed save or half as much damage on a successful one. The guardian vanishes when it has dealt a total of 60 damage_x000D_
#Cleric</t>
  </si>
  <si>
    <t>level 6 - #abjuration Casting Time: 1 hour Range: Touch Components: V, S, M (a silver rod worth 10+ GP) Duration: 24 hours 
You create a ward that protects up to 2,500 square feet of floor space. The warded area can be up to 20 feet tall, and you shape it as one 50-foot square, one hundred 5-foot squares that are contiguous, or twenty-five 10-foot squares that are contiguous. When you cast this spell, you can specify individuals that are unaffected by the spell's effects. You can also specify a password that, when spoken aloud within 5 feet of the warded area, makes the speaker immune to its effects. The spell creates the effects below within the warded area. Dispel Magic has no effect on Guards and Wards itself, but each of the following effects can be dispelled. If all four are dispelled, Guards and Wards ends. If you cast the spell every day for 365 days on the same area, the spell thereafter lasts until all its effects are dispelled. 
**Corridors.** Fog fills all the warded corridors, making them Heavily Obscured. In addition, at each intersection or branching passage offering a choice of direction, there is a 50 percent chance that a creature other than you believes it is going in the opposite direction from the one it chooses. 
**Doors.** All doors in the warded area are magically locked, as if sealed by the Arcane Lock spell. In addition, you can cover up to ten doors with an illusion to make them appear as plain sections of wall. Stairs. Webs fill all stairs in the warded area from top to bottom, as in the Web spell. These strands regrow in 10 minutes if they are destroyed while Guards and Wards lasts. 
**Other Spell Effect.** Place one of the following magical effects within the warded area: 
â€¢ Dancing Lights in four corridors, with a simple program that the lights repeat as long as Guards and Wards lasts 
â€¢ &gt;Magic Mouth in two locations 
â€¢ Stinking Cloud in two locations (the vapors return within 10 minutes if dispersed while Guards and Wards lasts) 
â€¢ Gust of Wind in one corridor or room (the wind blows continuously while the spell lasts) 
â€¢ Suggestion in one 5-foot square; any creature that enters that square receives the suggestion mentally_x000D_
#Bard #Wizard</t>
  </si>
  <si>
    <t>level 0 - #divination Casting Time: Action Range: Touch Components: V, S Duration: #Concentration, up to 1 minute 
You touch a willing creature and choose a skill. Until the spell ends, the creature adds 1d4 to any ability check using the chosen skill._x000D_
#Cleric #Druid</t>
  </si>
  <si>
    <t>level 1 - #evocation Casting Time: Action Range: 120 feet Components: V, S Duration: 1 round 
You hurl a bolt of light toward a creature within range. Make a ranged spell attack against the target. On a hit, it takes 4d6 Radiant damage, and the next attack roll made against it before the end of your next turn has Advantage. 
Using a Higher-Level Spell Slot. The damage increases by 1d6 for each spell slot level above 1._x000D_
#Cleric</t>
  </si>
  <si>
    <t>level 2 - #evocation Casting Time: Action Range: Self Components: V, S, M (a legume seed) Duration: #Concentration, up to 1 minute 
A Line of strong wind 60 feet long and 10 feet wide blasts from you in a direction you choose for the duration. Each creature in the Line must succeed on a Strength saving throw or be pushed 15 feet away from you in a direction following the Line. A creature that ends its turn in the Line must make the same save. 
Any creature in the Line must spend 2 feet of movement for every 1 foot it moves when moving closer to you.
The gust disperses gas or vapor, and it extinguishes candles and similar unprotected flames in the area. It causes protected flames, such as those of lanterns, to dance wildly and has a 50 percent chance to extinguish them. 
As a Bonus Action on your later turns, you can change the direction in which the Line blasts from you_x000D_
#Druid #Ranger #Sorcerer #Wizard</t>
  </si>
  <si>
    <t>level 1 - #conjuration Casting Time: #BonusAction, which you take immediately after hitting a creature with a Ranged weapon Range: Self Components: V Duration: Instantaneous 
As you hit the creature, this spell creates a rain of thorns that sprouts from your Ranged weapon or ammunition. The target of the attack and each creature within 5 feet of it make a Dexterity saving throw, taking 1d10 Piercing damage on a failed save or half as much damage on a successful one. 
Using a Higher-Level Spell Slot. The damage increases by 1d10 for each spell slot level above 1._x000D_
#Ranger</t>
  </si>
  <si>
    <t>level 5 - #abjuration Casting Time: 24 hours Range: Touch Components: V, S, M (incense worth 1,000+ GP, which the spell consumes) Duration: Until dispelled 
You touch a point and infuse an area around it with holy or unholy power. The area can have a radius up to 60 feet, and the spell fails if the radius includes an area already under the effect of Hallow. The affected area has the following effects. 
**Hallowed Ward.** Choose any of these creature types: Aberration, Celestial, Elemental, Fey, Fiend, or Undead. Creatures of the chosen types can't willingly enter the area, and any creature that is possessed by or that has the Charmed or Frightened condition from such creatures isn't possessed, Charmed, or Frightened by them while in the area. 
**Extra Effect.** You bind an extra effect to the area from the list below:
**Courage.** Creatures of any types you choose can't gain the Frightened condition while in the area. 
**Darkness.** Darkness fills the area. Normal light, as well as magical light created by spells of a level lower than this spell, can't illuminate the area. 
**Daylight.** Bright light fills the area. Magical Darkness created by spells of a level lower than this spell can't extinguish the light. 
**Peaceful Rest.** Dead bodies interred in the area can't be turned into Undead. 
**Extradimensional Interference.** Creatures of any types you choose can't enter or exit the area using teleportation or interplanar travel. 
**Fear.** Creatures of any types you choose have the Frightened condition while in the area. 
**Resistance.** Creatures of any types you choose have Resistance to one damage type of your choice while in the area. 
**Silence.** No sound can emanate from within the area, and no sound can reach into it. 
**Tongues.** Creatures of any types you choose can communicate with any other creature in the area even if they don't share a common language. 
**Vulnerability.** Creatures of any types you choose have Vulnerability to one damage type of your choice while in the area._x000D_
#Cleric</t>
  </si>
  <si>
    <t>level 4 - #illusion Casting Time: 10 minutes Range: 300 feet Components: V, S, M (a mushroom) Duration: 24 hours 
You make natural terrain in a 150-foot Cube in range look, sound, and smell like another sort of natural terrain. Thus, open fields or a road can be made to resemble a swamp, hill, crevasse, or some other difficult or impassable terrain. A pond can be made to seem like a grassy meadow, a precipice like a gentle slope, or a rock- strewn gully like a wide and smooth road. Manufactured structures, equipment, and creatures within the area aren't changed. 
The tactile characteristics of the terrain are unchanged, so creatures entering the area are likely to notice the illusion. If the difference isn't obvious by touch, a creature examining the illusion can take the Study action to make an Intelligence (Investigation) check against your spell save DC to disbelieve it. If a creature discerns that the terrain is illusory, the creature sees a vague image superimposed on the real terrain._x000D_
#Bard #Druid #Warlock #Wizard</t>
  </si>
  <si>
    <t>level 6 - #necromancy Casting Time: Action Range: 60 feet Components: V, S Duration: Instantaneous 
You unleash virulent magic on a creature you can see within range. The target makes a Constitution saving throw. On a failed save, it takes 14d6 Necrotic damage, and its Hit Point maximum is reduced by an amount equal to the Necrotic damage it took. On a successful save, it takes half as much damage only. This spell can't reduce a target's Hit Point maximum below 1._x000D_
#Cleric</t>
  </si>
  <si>
    <t>level 3 - #transmutation Casting Time: Action Range: 30 feet Components: V, S, M (a shaving of licorice root) Duration: #Concentration, up to 1 minute 
Choose a willing creature that you can see within range. Until the spell ends, the target's Speed is doubled, it gains a +2 bonus to Armor Class, it has Advantage on Dexterity saving throws, and it gains an additional action on each of its turns. That action can be used to take only the Attack (one attack only), Dash, Disengage, Hide, or Utilize action. 
When the spell ends, the target is Incapacitated and has a Speed of 0 until the end of its next turn, as a wave of lethargy washes over it._x000D_
#Sorcerer #Wizard</t>
  </si>
  <si>
    <t>level 6 - #abjuration Casting Time: Action Range: 60 feet Components: V, S Duration: Instantaneous 
Choose a creature that you can see within range. Positive energy washes through the target, restoring 70 Hit Points. This spell also ends the Blinded, Deafened, and Poisoned conditions on the target. 
Using a Higher-Level Spell Slot. The healing increases by 10 for each spell slot level above 6._x000D_
#Cleric #Druid</t>
  </si>
  <si>
    <t>level 1 - #abjuration Casting Time: #BonusAction Range: 60 feet Components: V Duration: Instantaneous 
A creature of your choice that you can see within range regains Hit Points equal to 2d4 plus your spellcasting ability modifier. 
Using a Higher-Level Spell Slot. The healing increases by 2d4 for each spell slot level above 1._x000D_
#Bard #Cleric #Druid</t>
  </si>
  <si>
    <t>level 2 - #transmutation Casting Time: Action Range: 60 feet Components: V, S, M (a piece of iron and a flame) Duration: #Concentration, up to 1 minute 
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take a Bonus Action on each of your later turns to deal this damage again if the object is within range.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 
Using a Higher-Level Spell Slot. The damage increases by 1d8 for each spell slot level above 2._x000D_
#Bard #Druid</t>
  </si>
  <si>
    <t>level 1 - #evocation Casting Time: #Reaction, which you take in response to taking damage from a creature that you can see within 60 feet of yourself Range: 60 feet Components: V, S Duration: Instantaneous 
The creature that damaged you is momentarily surrounded by green flames. It makes a Dexterity saving throw, taking 2d10 Fire damage on a failed save or half as much damage on a successful one. 
Using a Higher-Level Spell Slot. The damage increases by 1d10 for each spell slot level above 1._x000D_
#Warlock</t>
  </si>
  <si>
    <t>level 6 - #conjuration Casting Time: 10 minutes Range: Self Components: V, S, M (a gem-encrusted bowl worth 1,000+ GP, which the spell consumes) Duration: Instantaneous 
You conjure a feast that appears on a surface in an unoccupied 10- foot Cube next to you. The feast takes 1 hour to consume and disappears at the end of that time, and the beneficial effects don't set in until this hour is over. Up to twelve creatures can partake of the feast. 
A creature that partakes gains several benefits, which last for 24 hours. The creature has Resistance to Poison damage, and it has Immunity to the Frightened and Poisoned conditions. Its Hit Point maximum also increases by 2d10, and it gains the same number of Hit Points._x000D_
#Bard #Cleric #Druid</t>
  </si>
  <si>
    <t>level 1 - #enchantment Casting Time: Action Range: Touch Components: V, S Duration: #Concentration, up to 1 minute 
A willing creature you touch is imbued with bravery. Until the spell ends, the creature is immune to the Frightened condition and gains Temporary Hit Points equal to your spellcasting ability modifier at the start of each of its turns. 
Using a Higher-Level Spell Slot. You can target one additional creature for each spell slot level above 1._x000D_
#Bard #Paladin</t>
  </si>
  <si>
    <t>level 1 - #enchantment Casting Time: #BonusAction Range: 90 feet Components: V, S, M (the petrified eye of a newt) Duration: #Concentration, up to 1 hour 
You place a curse on a creature that you can see within range. Until the spell ends, you deal an extra 1d6 Necrotic damage to the target whenever you hit it with an attack roll. Also, choose one ability when you cast the spell. The target has Disadvantage on ability checks made with the chosen ability. 
If the target drops to 0 Hit Points before this spell ends, you can use a Bonus Action on a later turn to curse a new creature. 
Using a Higher-Level Spell Slot. Your #Concentration can last longer with a spell slot of level 2 (up to 4 hours), 3-4 (up to 8 hours), or 5+ (up to 24 hours)._x000D_
#Warlock</t>
  </si>
  <si>
    <t>level 5 - #enchantment Casting Time: Action Range: 90 feet Components: V, S, M (a straight piece of iron) Duration: #Concentration, up to 1 minute 
Choose a creature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creature for each spell slot level above 5._x000D_
#Bard #Sorcerer #Warlock #Wizard</t>
  </si>
  <si>
    <t>level 2 - #enchantment Casting Time: Action Range: 60 feet Components: V, S, M (a straight piece of iron) Duration: #Concentration, up to 1 minute 
Choose a Humanoid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Humanoid for each spell slot level above 2._x000D_
#Bard #Cleric #Druid #Sorcerer #Warlock #Wizard</t>
  </si>
  <si>
    <t>level 8 - #abjuration Casting Time: Action Range: Self Components: V, S, M (a reliquary worth 1,000+ GP) Duration: #Concentration, up to 1 minute 
For the duration, you emit an aura in a 30-foot Emanation. While in the aura, creatures of your choice have Advantage on all saving throws, and other creatures have Disadvantage on attack rolls against them. In addition, when a Fiend or an Undead hits an affected creature with a melee attack roll, the attacker must succeed on a Constitution saving throw or have the Blinded condition until the end of its next turn._x000D_
#Cleric</t>
  </si>
  <si>
    <t>level 3 - #conjuration Casting Time: Action Range: 150 feet Components: V, S, M (a pickled tentacle) Duration: #Concentration, up to 1 minute 
You open a gateway to the Far Realm, a region infested with unspeakable horrors. A 20-foot-radius Sphere of Darkness appears, centered on a point with range and lasting for the duration. The Sphere is Difficult Terrain, and it is filled with strange whispers and slurping noises, which can be heard up to 30 feet away. No light, magical or otherwise, can illuminate the area, and creatures fully within it have the Blinded condition. 
Any creature that starts its turn in the area takes 2d6 Cold damage. Any creature that ends its turn there must succeed on a Dexterity saving throw or take 2d6 Acid damage from otherworldly tentacles. 
Using a Higher-Level Spell Slot. The Cold or Acid damage (your choice) increases by 1d6 for each spell slot level above 3.
#Warlock</t>
  </si>
  <si>
    <t>level 1 - #divination Casting Time: #BonusAction Range: 90 feet Components: V Duration: #Concentration, up to 1 hour 
You magically mark one creature you can see within range as your quarry. Until the spell ends, you deal an extra 1d6 Force damage to the target whenever you hit it with an attack roll. You also have Advantage on any Wisdom (Perception or Survival) check you make to find it. 
If the target drops to 0 Hit Points before this spell ends, you can use a Bonus Action to mark a new creature you can see within range. 
Using a Higher-Level Spell Slot. Your #Concentration can last longer with a spell slot of level 3-4 (up to 8 hours) or 5+ (up to 24 hours)._x000D_
#Ranger</t>
  </si>
  <si>
    <t>level 3 - #illusion Casting Time: Action Range: 120 feet Components: S, M (a pinch of confetti) Duration: #Concentration, up to 1 minute 
You create a twisting pattern of colors in a 30-foot Cube within range. The pattern appears for a moment and vanishes. Each creature in the area who can see the pattern must succeed on a Wisdom saving throw or have the Charmed condition for the duration. While Charmed, the creature has the Incapacitated condition and a Speed of 0. 
The spell ends for an affected creature if it takes any damage or if someone else uses an action to shake the creature out of its stupor._x000D_
#Bard #Sorcerer #Warlock #Wizard</t>
  </si>
  <si>
    <t>level 1 - #conjuration Casting Time: Action Range: 60 feet Components: S, M (a drop of water or a piece of ice) Duration: Instantaneous 
You create a shard of ice and fling it at one creature within range. Make a ranged spell attack against the target. On a hit, the target takes 1d10 Piercing damage. Hit or miss, the shard then explodes. The target and each creature within 5 feet of it must succeed on a Dexterity saving throw or take 2d6 Cold damage. 
Using a Higher-Level Spell Slot. The Cold damage increases by 1d6 for each spell slot level above 1_x000D_
#Druid #Sorcerer #Wizard</t>
  </si>
  <si>
    <t>level 4 - #evocation Casting Time: Action Range: 300 feet Components: V, S, M (a mitten) Duration: Instantaneous 
Hail falls in a 20-foot-radius, 40-foot-high Cylinder centered on a point within range. Each creature in the Cylinder makes a Dexterity saving throw. A creature takes 2d10 Bludgeoning damage and 4d6 Cold damage on a failed save or half as much damage on a successful one. 
Hailstones turn ground in the Cylinder into Difficult Terrain until the end of your next turn. 
Using a Higher-Level Spell Slot. The Bludgeoning damage increases by 1d10 for each spell slot level above 4_x000D_
#Druid #Sorcerer #Wizard</t>
  </si>
  <si>
    <t>level 9 - #abjuration Casting Time: 1 minute Range: 30 feet Components: V, S, M (a statuette of the target worth 5,000+ GP) Duration: Until dispelled 
You create a magical restraint to hold a creature that you can see within range. The target must make a Wisdom saving throw. On a successful save, the target is unaffected, and it is immune to this spell for the next 24 hours. On a failed save, the target is imprisoned. While imprisoned, the target doesn't need to breathe, eat, or drink, and it doesn't age. Divination spells can't locate or perceive the imprisoned target, and the target can't teleport. Until the spell ends, the target is also affected by one of the following effects of your choice: 
**Burial.** The target is entombed beneath the earth in a hollow globe of magical force that is just large enough to contain the target. Nothing can pass into or out of the globe. 
**Chaining.** Chains firmly rooted in the ground hold the target in place. The target has the Restrained condition and can't be moved by any means. 
**Hedged Prison.** The target is trapped in a demiplane that is warded against teleportation and planar travel. The demiplane is your choice of a labyrinth, a cage, a tower, or the like. 
**Minimus Containment.** The target becomes 1 inch tall and is trapped inside an indestructible gemstone or a similar object. Light can pass through the gemstone (allowing the target to see out and other creatures to see in), but nothing else can pass through by any means. 
**Slumber.** The target has the Unconscious condition and can't be awoken. 
**Ending the Spell.** When you cast the spell, specify a trigger that will end it. The trigger can be as simple or as elaborate as you choose, but the DM must agree that it has a high likelihood of happening within the next decade. The trigger must be an observable action, such as someone making a particular offering at the temple of your god, saving your true love, or defeating a specific monster. 
A Dispel Magic spell can end the spell only if it is cast with a level 9 spell slot, targeting either the prison or the component used to create it._x000D_
#Warlock #Wizard</t>
  </si>
  <si>
    <t>level 8 - #conjuration Casting Time: Action Range: 150 feet Components: V, S Duration: #Concentration, up to 1 minute 
A swirling cloud of embers and smoke fills a 20-foot-radius Sphere centered on a point within range. The cloud's area is Heavily Obscured. It lasts for the duration or until a strong wind (like that created by Gust of Wind) disperses it. 
When the cloud appears, each creature in it makes a Dexterity saving throw, taking 10d8 Fire damage on a failed save or half as much damage on a successful one. A creature must also make this save when the Sphere moves into its space and when it enters the Sphere or ends its turn there. A creature makes this save only once per turn. 
The cloud moves 10 feet away from you in a direction you choose at the start of each of your turns._x000D_
#Druid #Sorcerer #Wizard</t>
  </si>
  <si>
    <t>level 1 - #necromancy Casting Time: Action Range: Touch Components: V, S Duration: Instantaneous 
A creature you touch makes a Constitution saving throw, taking 2d10 Necrotic damage on a failed save or half as much damage on a successful one. 
Using a Higher-Level Spell Slot. The damage increases by 1d10 for each spell slot level above 1._x000D_
#Cleric</t>
  </si>
  <si>
    <t>level 5 - #conjuration Casting Time: Action Range: 300 feet Components: V, S, M (a locust) Duration: #Concentration, up to 10 minutes 
Swarming locusts fill a 20-foot-radius Sphere centered on a point you choose within range. The Sphere remains for the duration, and its area is Lightly Obscured and Difficult Terrain. 
When the swarm appears, each creature in it makes a Constitution saving throw, taking 4d10 Piercing damage on a failed save or half as much damage on a successful one. A creature also makes this save when it enters the spell's area for the first time on a turn or ends its turn there. A creature makes this save only once per turn. 
Using a Higher-Level Spell Slot. The damage increases by 1d10 for each spell slot level above 5._x000D_
#Cleric #Druid #Sorcerer</t>
  </si>
  <si>
    <t>level 2 - #illusion Casting Time: Action Range: Touch Components: V, S, M (an eyelash in gum arabic) Duration: #Concentration, up to 1 hour 
A creature you touch has the Invisible condition until the spell ends. The spell ends early immediately after the target makes an attack roll, deals damage, or casts a spell. 
Using a Higher-Level Spell Slot. You can target one additional creature for each spell slot level above 2
#Bard #Sorcerer #Warlock #Wizard</t>
  </si>
  <si>
    <t>level 5 - #evocation Casting Time: Action Range: 120 feet Components: V, S, M (a pinch of phosphorus) Duration: #Concentration, up to 1 minute 
Description not available (not OGL)_x000D_
#Warlock #Wizard</t>
  </si>
  <si>
    <t>level 1 - #transmutation Casting Time: #BonusAction Range: Touch Components: V, S, M (a grasshopper's hind leg) Duration: 1 minute 
You touch a willing creature. Once on each of its turns until the spell ends, that creature can jump up to 30 feet by spending 10 feet of movement. 
Using a Higher-Level Spell Slot. You can target one additional creature for each spell slot level above 1_x000D_
#Druid #Ranger #Sorcerer #Wizard</t>
  </si>
  <si>
    <t>level 2 - #transmutation Casting Time: Action Range: 60 feet Components: V Duration: Instantaneous 
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the target is held shut by Arcane Lock, that spell is suppressed for 10 minutes, during which time the target can be opened and closed. 
When you cast the spell, a loud knock, audible up to 300 feet away, emanates from the target._x000D_
#Bard #Sorcerer #Wizard</t>
  </si>
  <si>
    <t>level 5 - #divination Casting Time: 10 minutes Range: Self Components: V, S, M (incense worth 250+ GP, which the spell consumes, and four ivory strips worth 50+ GP each) Duration: Instantaneous 
Name or describe a famous person, place, or object. The spell brings to your mind a brief summary of the significant lore about that famous thing, as described by the DM. 
The lore might consist of important details, amusing revelations, or even secret lore that has never been widely known. The more information you already know about the thing, the more precise and detailed the information you receive is. That information is accurate but might be couched in figurative language or poetry, as determined by the DM. 
If the famous thing you chose isn't actually famous, you hear sad musical notes played on a trombone, and the spell fails_x000D_
#Bard #Cleric #Wizard</t>
  </si>
  <si>
    <t>level 4 - #conjuration Casting Time: Action Range: Touch Components: V, S, M (a chest, 3 feet by 2 feet by 2 feet, constructed from rare materials worth 5,000+ GP, and a Tiny replica of the chest made from the same materials worth 50+ GP) Duration: Instantaneous 
You hide a chest and all its contents on the Ethereal Plane. You must touch the chest and the miniature replica that serve as Material components for the spell. The chest can contain up to 12 cubic feet of nonliving material (3 feet by 2 feet by 2 feet). 
While the chest remains on the Ethereal Plane, you can take a Magic action and touch the replica to recall the chest. It appears in an unoccupied space on the ground within 5 feet of you. You can send the chest back to the Ethereal Plane by taking a Magic action to touch the chest and the replica. 
After 60 days, there is a cumulative 5 percent chance at the end of each day that the spell ends. The spell also ends if you cast this spell again or if the Tiny replica chest is destroyed. If the spell ends and the larger chest is on the Ethereal Plane, the chest remains there for you or someone else to find._x000D_
#Wizard</t>
  </si>
  <si>
    <t>level 3 - #evocation ( #ritual ) Casting Time: 1 minute or Ritual Range: Self Components: V, S, M (a crystal bead) Duration: 8 hours 
A 10-foot Emanation springs into existence around you and remains stationary for the duration. The spell fails when you cast it if the Emanation isn't big enough to fully encapsulate all creatures in its area. 
Creatures and objects within the Emanation when you cast the spell can move through it freely. All other creatures and objects are barred from passing through it. Spells of level 3 or lower can't be cast through it, and the effects of such spells can't extend into it. The atmosphere inside the Emanation is comfortable and dry, regardless of the weather outside. Until the spell ends, you can command the interior to have Dim Light or Darkness (no action required). The Emanation is opaque from the outside and of any color you choose, but it's transparent from the inside. 
The spell ends early if you leave the Emanation or if you cast it again_x000D_
#Bard #Wizard</t>
  </si>
  <si>
    <t>level 2 - #abjuration Casting Time: #BonusAction Range: Touch Components: V, S Duration: Instantaneous 
You touch a creature and end one condition on it: Blinded, Deafened, Paralyzed, or Poisoned_x000D_
#Bard #Cleric #Druid #Paladin #Ranger</t>
  </si>
  <si>
    <t>level 2 - #transmutation Casting Time: Action Range: 60 feet Components: V, S, M (a metal spring) Duration: #Concentration, up to 10 minutes 
One creature or loose object of your choice that you can see within range rises vertically up to 20 feet and remains suspended there for the duration. The spell can levitate an object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take a Magic action to move the target, which must remain within the spell's range. 
When the spell ends, the target floats gently to the ground if it is still aloft_x000D_
#Sorcerer #Wizard</t>
  </si>
  <si>
    <t>level 0 - #evocation Casting Time: Action Range: Touch Components: V, M (a firefly or phosphorescent moss) Duration: 1 hour 
You touch one Large or smaller object that isn't being worn or carried by someone else. Until the spell ends, the object sheds Bright Light in a 20-foot radius and Dim Light for an additional 20 feet. The light can be colored as you like. 
Covering the object with something opaque blocks the light. The spell ends if you cast it again._x000D_
#Bard #Cleric #Sorcerer #Wizard</t>
  </si>
  <si>
    <t>level 3 - #transmutation Casting Time: #BonusAction, which you can take immediately after hitting or missing a target with a ranged attack using a weapon Range: Self Components: V, S Duration: Instantaneous 
As your attack hits or misses the target, the weapon or ammunition you're using transforms into a lightning bolt. Instead of taking any damage or other effects from the attack, the target takes 4d8 Lightning damage on a hit or half as much damage on a miss. Each creature within 10 feet of the target then makes a Dexterity saving throw, taking 2d8 Lightning damage on a failed save or half as much damage on a successful one. 
The weapon or ammunition then returns to its normal form. 
Using a Higher-Level Spell Slot. The damage for both effects of the spell increases by 1d8 for each spell slot level above 3_x000D_
#Ranger</t>
  </si>
  <si>
    <t>level 3 - #evocation Casting Time: Action Range: Self Components: V, S, M (a bit of fur and a crystal rod) Duration: Instantaneous 
A stroke of lightning forming a 100-foot-long, 5-foot-wide Line blasts out from you in a direction you choose. Each creature in the Line makes a Dexterity saving throw, taking 8d6 Lightning damage on a failed save or half as much damage on a successful one. 
Using a Higher-Level Spell Slot. The damage increases by 1d6 for each spell slot level above 3._x000D_
#Sorcerer #Wizard</t>
  </si>
  <si>
    <t>level 2 - #divination ( #ritual ) Casting Time: Action or Ritual Range: Self Components: V, S, M (fur from a bloodhound) Duration: Instantaneous 
Describe or name a specific kind of Beast, Plant creature, or nonmagical plant. You learn the direction and distance to the closest creature or plant of that kind within 5 miles, if any are present_x000D_
#Bard #Druid #Ranger</t>
  </si>
  <si>
    <t>level 4 - #divination Casting Time: Action Range: Self Components: V, S, M (fur from a bloodhound) Duration: #Concentration, up to 1 hour 
Describe or name a creature that is familiar to you. You sense the direction to the creature's location if that creature is within 1,000 feet of you. If the creature is moving, you know the direction of its movement. 
The spell can locate a specific creature known to you or the nearest creature of a specific kind (such as a human or a unicorn) if you have seen such a creature up closeâ€”within 30 feetâ€”at least once. If the creature you described or named is in a different form, such as under the effects of a Flesh to Stone or Polymorph spell, this spell doesn't locate the creature. 
This spell can't locate a creature if any thickness of lead blocks a direct path between you and the creature_x000D_
#Bard #Cleric #Druid #Paladin #Ranger #Wizard</t>
  </si>
  <si>
    <t>level 2 - #divination Casting Time: Action Range: Self Components: V, S, M (a forked twig) Duration: #Concentration, up to 10 minutes 
Describe or name an object that is familiar to you. You sense the direction to the object's location if that object is within 1,000 feet of you. If the object is in motion, you know the direction of its movement. 
The spell can locate a specific object known to you if you have seen it up closeâ€”within 30 feetâ€”at least once. Alternatively, the spell can locate the nearest object of a particular kind, such as a certain kind of apparel, jewelry, furniture, tool, or weapon. 
This spell can't locate an object if any thickness of lead blocks a direct path between you and the object_x000D_
#Bard #Cleric #Druid #Paladin #Ranger #Wizard</t>
  </si>
  <si>
    <t>level 1 - #transmutation Casting Time: Action Range: Touch Components: V, S, M (a pinch of dirt) Duration: 1 hour 
You touch a creature. The target's Speed increases by 10 feet until the spell ends. 
Using a Higher-Level Spell Slot. You can target one additional creature for each spell slot level above 1_x000D_
#Bard #Druid #Ranger #Wizard</t>
  </si>
  <si>
    <t>level 1 - #abjuration Casting Time: Action Range: Touch Components: V, S, M (a piece of cured leather) Duration: 8 hours 
You touch a willing creature who isn't wearing armor. Until the spell ends, the target's base AC becomes 13 plus its Dexterity modifier. The spell ends early if the target dons armor_x000D_
#Sorcerer #Wizard</t>
  </si>
  <si>
    <t>level 0 - #conjuration Casting Time: Action Range: 30 feet Components: V, S Duration: 1 minute 
A spectral, floating hand appears at a point you choose within range. The hand lasts for the duration. The hand vanishes if it is ever more than 30 feet away from you or if you cast this spell again. When you cast the spell, you can use the hand to manipulate an object, open an unlocked door or container, stow or retrieve an item from an open container, or pour the contents out of a vial. 
As a Magic action on your later turns, you can control the hand thus again. As part of that action, you can move the hand up to 30 feet.
The hand can't attack, activate magic items, or carry more than 10 pounds_x000D_
#Bard #Sorcerer #Warlock #Wizard</t>
  </si>
  <si>
    <t>level 3 - #abjuration Casting Time: 1 minute Range: 10 feet Components: V, S, M (salt and powdered silver worth 100+ GP, which the spell consumes) Duration: 1 hour 
You create a 10-foot-radius, 20-foot-tall Cylinder of magical energy centered on a point on the ground that you can see within range. Glowing runes appear wherever the Cylinder intersects with the floor or other surface. 
Choose one or more of the following types of creatures: Celestials, Elementals, Fey, Fiends, or Undead. The circle affects a creature of the chosen type in the following ways: 
â€¢ The creature can't willingly enter the Cylinder by nonmagical means. If the creature tries to use teleportation or interplanar travel to do so, it must first succeed on a Charisma saving throw. 
â€¢ The creature has Disadvantage on attack rolls against targets within the Cylinder. 
â€¢ Targets within the Cylinder can't be possessed by or gain the Charmed or Frightened condition from the creature. 
Each time you cast this spell, you can cause its magic to operate in the reverse direction, preventing a creature of the specified type from leaving the Cylinder and protecting targets outside it. 
Using a Higher-Level Spell Slot. The duration increases by 1 hour for each spell slot level above 3_x000D_
#Cleric #Paladin #Warlock #Wizard</t>
  </si>
  <si>
    <t>level 6 - #necromancy Casting Time: 1 minute Range: Self Components: V, S, M (a gem, crystal, or reliquary worth 500+ GP) Duration: Until dispelled 
Your body falls into a catatonic state as your soul leaves it and enters the container you used for the spell's Material component. While your soul inhabits the container, you are aware of your surroundings as if you were in the container's space. You can't move or take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 can't be possessed). The target makes a Charisma saving throw. On a failed save, your soul enters the target's body, and the target's soul becomes trapped in the container. On a successful save, the target resists your efforts to possess it, and you can't attempt to possess it again for 24 hours. Once you possess a creature's body, you control it. Your Hit Points, Hit Point Dice, Strength, Dexterity, Constitution, Speed, and senses are replaced by the creature's. You otherwise keep your game statistics. 
Meanwhile, the possessed creature's soul can perceive from the container using its own senses, but it can't move and it is Incapacitated. 
While possessing a body, you can take a Magic action to return from the host body to the container if it is within 100 feet of you, returning the host creature's soul to its body. If the host body dies while you're in it, the creature dies, and you make a Charisma saving throw against your own spellcasting DC. On a success, you return to the container if it is within 100 feet of you. Otherwise, you die. 
If the container is destroyed or the spell ends, your soul returns to your body. If your body is more than 100 feet away from you or if your body is dead, you die. If another creature's soul is in the container when it is destroyed, the creature's soul returns to its body if the body is alive and within 100 feet. Otherwise, that creature dies.
When the spell ends, the container is destroyed_x000D_
#Wizard</t>
  </si>
  <si>
    <t>level 1 - #evocation Casting Time: Action Range: 120 feet Components: V, S Duration: Instantaneous 
You create three glowing darts of magical force. Each dart strikes a creature of your choice that you can see within range. A dart deals 1d4 + 1 Force damage to its target. The darts all strike simultaneously, and you can direct them to hit one creature or several. 
Using a Higher-Level Spell Slot. The spell creates one more dart for each spell slot level above 1._x000D_
#Sorcerer #Wizard</t>
  </si>
  <si>
    <t>level 2 - #illusion ( #ritual ) Casting Time: 1 minute or Ritual Range: 30 feet Components: V, S, M (jade dust worth 10+ GP, which the spell consumes) Duration: Until dispelled 
You implant a message within an object in rangeâ€”a message that is uttered when a trigger condition is met. Choose an object that you can see and that isn't being worn or carried by another creature. Then speak the message, which must be 25 words or fewer, though it can be delivered over as long as 10 minutes. Finally, determine the circumstance that will trigger the spell to deliver your message. When that trigger occurs, a magical mouth appears on the object and recites the message in your voice and at the same volume you spoke. If the object you chose has a mouth or something that looks like a mouth (for example, the mouth of a statue), the magical mouth appears there, so the words appear to come from the object's mouth. When you cast this spell, you can have the spell end after it delivers its message, or it can remain and repeat its message whenever the trigger occurs. 
The trigger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it._x000D_
#Bard #Wizard</t>
  </si>
  <si>
    <t>level 2 - #transmutation Casting Time: #BonusAction Range: Touch Components: V, S Duration: 1 hour 
You touch a nonmagical weapon. Until the spell ends, that weapon becomes a magic weapon with a +1 bonus to attack rolls and damage rolls. The spell ends early if you cast it again. 
Using a Higher-Level Spell Slot. The bonus increases to +2 with a level 3â€“5 spell slot. The bonus increases to +3 with a level 6+ spell slot._x000D_
#Paladin #Ranger #Sorcerer #Wizard</t>
  </si>
  <si>
    <t>level 3 - #illusion Casting Time: Action Range: 120 feet Components: V, S, M (a bit of fleece) Duration: #Concentration, up to 10 minutes 
You create the image of an object, a creature, or some other visible phenomenon that is no larger than a 20-foot Cube. The image appears at a spot that you can see within range and lasts for the duration. It seems real, including sounds, smells, and temperature appropriate to the thing depicted, but it can't deal damage or cause conditions. 
If you are within range of the illusion, you can take a Magic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for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 
Using a Higher-Level Spell Slot. The spell lasts until dispelled, without requiring #Concentration, if cast with a level 4+ spell slot_x000D_
#Bard #Sorcerer #Warlock #Wizard</t>
  </si>
  <si>
    <t>level 5 - #abjuration Casting Time: Action Range: 60 feet Components: V, S Duration: Instantaneous 
A wave of healing energy washes out from a point you can see within range. Choose up to six creatures in a 30-foot-radius Sphere centered on that point. Each target regains Hit Points equal to 5d8 plus your spellcasting ability modifier. 
Using a Higher-Level Spell Slot. The healing increases by 1d8 for each spell slot level above 5_x000D_
#Bard #Cleric #Druid</t>
  </si>
  <si>
    <t>level 9 - #abjuration Casting Time: Action Range: 60 feet Components: V, S Duration: Instantaneous 
A flood of healing energy flows from you into creatures around you. You restore up to 700 Hit Points, divided as you choose among any number of creatures that you can see within range. Creatures healed by this spell also have the Blinded, Deafened, and Poisoned conditions removed from them._x000D_
#Cleric</t>
  </si>
  <si>
    <t>level 3 - #abjuration Casting Time: #BonusAction Range: 60 feet Components: V Duration: Instantaneous 
Up to six creatures of your choice that you can see within range regain Hit Points equal to 2d4 plus your spellcasting ability modifier. 
Using a Higher-Level Spell Slot. The healing increases by 1d4 for each spell slot level above 3._x000D_
#Bard #Cleric</t>
  </si>
  <si>
    <t>level 6 - #enchantment Casting Time: Action Range: 60 feet Components: V, M (a snake's tongue) Duration: 24 hours 
You suggest a course of activityâ€”described in no more than 25 wordsâ€”to twelve or fewer creatures you can see within range that can hear and understand you. The suggestion must sound achievable and not involve anything that would obviously deal damage to any of the targets or their allies. For example, you could say, â€œWalk to the village down that road, and help the villagers there harvest crops until sunset.â€ Or you could say, â€œNow is not the time for violence. Drop your weapons, and dance! Stop in an hour.â€ Each target must succeed on a Wisdom saving throw or have the Charmed condition for the duration or until you or your allies deal damage to the target. Each Charmed target pursues the suggestion to the best of its ability. The suggested activity can continue for the entire duration, but if the suggested activity can be completed in a shorter time, the spell ends for a target upon completing it. 
Using a Higher-Level Spell Slot. The duration is longer with a spell slot of level 7 (10 days), 8 (30 days), or 9 (366 days)_x000D_
#Bard #Sorcerer #Wizard</t>
  </si>
  <si>
    <t>level 8 - #conjuration Casting Time: Action Range: 60 feet Components: V, S Duration: #Concentration, up to 10 minutes 
You banish a creature that you can see within range into a labyrinthine demiplane. The target remains there for the duration or until it escapes the maze. 
The target can take a Study action to try to escape. When it does so, it makes a DC 20 Intelligence (Investigation) check. If it succeeds, it escapes, and the spell ends. 
When the spell ends, the target reappears in the space it left or, if that space is occupied, in the nearest unoccupied space._x000D_
#Wizard</t>
  </si>
  <si>
    <t>level 3 - #transmutation ( #ritual ) Casting Time: Action or #Ritual Range: Touch Components: V, S Duration: 8 hours 
You step into a stone object or surface large enough to fully contain your body, merging yourself and your equipment with the stone for the duration. You must touch the stone to do so.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5 feet of movement to leave the stone where you entered it, which ends the spell. You otherwise can't move. 
Minor physical damage to the stone doesn't harm you, but its partial destruction or a change in its shape (to the extent that you no longer fit within it) expels you and deals 6d6 Force damage to you. The stone's complete destruction (or transmutation into a different substance) expels you and deals 50 Force damage to you. If expelled, you move into an unoccupied space closest to where you first entered and have the Prone condition._x000D_
#Cleric #Druid #Ranger</t>
  </si>
  <si>
    <t>level 2 - #evocation Casting Time: Action Range: 90 feet Components: V, S, M (powdered rhubarb leaf) Duration: Instantaneous 
A shimmering green arrow streaks toward a target within range and bursts in a spray of acid. Make a ranged spell attack against the target. On a hit, the target takes 4d4 Acid damage and 2d4 Acid damage at the end of its next turn. On a miss, the arrow splashes the target with acid for half as much of the initial damage only. 
Using a Higher-Level Spell Slot. The damage (both initial and later) increases by 1d4 for each spell slot level above 2_x000D_
#Wizard</t>
  </si>
  <si>
    <t>level 0 - #transmutation Casting Time: 1 minute Range: Touch Components: V, S, M (two lodestones) Duration: Instantaneous 
This spell repairs a single break or tear in an object you touch, such as a broken chain link, two halves of a broken key, a torn cloak, or a leaking wineskin. As long as the break or tear is no larger than 1 foot in any dimension, you mend it, leaving no trace of the former damage. 
This spell can physically repair a magic item, but it can't restore magic to such an object._x000D_
#Bard #Cleric #Druid #Sorcerer #Wizard</t>
  </si>
  <si>
    <t>level 0 - #transmutation Casting Time: Action Range: 120 feet Components: S, M (a copper wire) Duration: 1 round 
You point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metal, or wood; or a thin sheet of lead blocks the spell._x000D_
#Bard #Druid #Sorcerer #Wizard</t>
  </si>
  <si>
    <t>level 9 - #evocation Casting Time: Action Range: 1 mile Components: V, S Duration: Instantaneous 
Blazing orbs of fire plummet to the ground at four different points you can see within range. Each creature in a 40-foot-radius Sphere centered on each of those points makes a Dexterity saving throw. A creature takes 20d6 Fire damage and 20d6 Bludgeoning damage on a failed save or half as much damage on a successful one. A creature in the area of more than one fiery Sphere is affected only once. 
A nonmagical object that isn't being worn or carried also takes the damage if it's in the spell's area, and the object starts burning if it's flammable._x000D_
#Sorcerer #Wizard</t>
  </si>
  <si>
    <t>Level 8 - #abjuration Casting Time: Action Range: Touch Components: V, S Duration: 24 hours 
Until the spell ends, one willing creature you touch has Immunity to Psychic damage and the Charmed condition. The target is also unaffected by anything that would sense its emotions or alignment, read its thoughts, or magically detect its location, and no spellâ€”not even Wishâ€”can gather information about the target, observe it remotely, or control its mind._x000D_
#Bard #Wizard</t>
  </si>
  <si>
    <t>level 0 - #enchantment Casting Time: Action Range: 60 feet Components: V Duration: 1 round 
You try to temporarily sliver the mind of one creature you can see within range. The target must succeed on an Intelligence saving throw or take 1d6 Psychic damage and subtract 1d4 from the next saving throw it makes before the end of your next turn. 
Cantrip Upgrade. The damage increases by 1d6 when you reach levels 5 (2d6), 11 (3d6), and 17 (4d6)_x000D_
#Sorcerer #Warlock #Wizard</t>
  </si>
  <si>
    <t>level 2 - #divination Casting Time: Action Range: 120 feet Components: S Duration: #Concentration, up to 1 hour 
You drive a spike of psionic energy into the mind of one creature you can see within range. The target makes a Wisdom saving throw, taking 3d8 Psychic damage on a failed save or half as much damage on a successful one. On a failed save, you also always know the target's location until the spell ends, but only while the two of you are on the same plane of existence. While you have this knowledge, the target can't become hidden from you, and if it has the Invisible condition, it gains no benefit from that condition against you. 
Using a Higher-Level Spell Slot. The damage increases by 1d8 for each spell slot level above 2_x000D_
#Sorcerer #Warlock #Wizard</t>
  </si>
  <si>
    <t>level 0 - #illusion Casting Time: Action Range: 30 feet Components: S, M (a bit of fleece) Duration: 1 minute 
You create a sound or an image of an object within range that lasts for the duration. See the descriptions below for the effects of each. The illusion ends if you cast this spell again. If a creature takes a Study action to examine the sound or image, the creature can determine that it is an illusion with a successful Intelligence (Investigation) check against your spell save DC. If a creature discerns the illusion for what it is, the illusion becomes faint to the creature. 
**Sound.**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**Image.** If you create an image of an objectâ€”such as a chair, muddy footprints, or a small chestâ€”it must be no larger than a 5- foot Cube. The image can't create sound, light, smell, or any other sensory effect. Physical interaction with the image reveals it to be an illusion, since things can pass through it._x000D_
#Bard #Sorcerer #Warlock #Wizard</t>
  </si>
  <si>
    <t>level 7 - #illusion Casting Time: 10 minutes Range: Sight Components: V, S Duration: 10 days 
You make terrain in an area up to 1 mile square look, sound, smell, and even feel like some other sort of terrain. Open fields or a road could be made to resemble a swamp, hill, crevasse, or some other rough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illusion._x000D_
#Bard #Druid #Wizard</t>
  </si>
  <si>
    <t>level 2 - #illusion Casting Time: Action Range: Self Components: V, S Duration: 1 minute 
Three illusory duplicates of yourself appear in your space. Until the spell ends, the duplicates move with you and mimic your actions, shifting position so it's impossible to track which image is real. 
Each time a creature hits you with an attack roll during the spell's duration, roll a d6 for each of your remaining duplicates. If any of the d6s rolls a 3 or higher, one of the duplicates is hit instead of you, and the duplicate is destroyed. The duplicates otherwise ignore all other damage and effects. The spell ends when all three duplicates are destroyed. 
A creature is unaffected by this spell if it has the Blinded condition, Blindsight, or Truesight._x000D_
#Bard #Sorcerer #Warlock #Wizard</t>
  </si>
  <si>
    <t>level 5 - #illusion Casting Time: Action Range: Self Components: S Duration: #Concentration, up to 1 hour 
You gain the Invisible condition at the same time that an illusory double of you appears where you are standing. The double lasts for the duration, but the invisibility ends immediately after you make an attack roll, deal damage, or cast a spell. 
As a Magic action, you can move the illusory double up to twice your Speed and make it gesture, speak, and behave in whatever way you choose. It is intangible and invulnerable. 
You can see through its eyes and hear through its ears as if you were located where it is._x000D_
#Bard #Warlock #Wizard</t>
  </si>
  <si>
    <t>Level 2 - #conjuration Casting Time: #BonusAction Range: Self Components: V Duration: Instantaneous 
Briefly surrounded by silvery mist, you teleport up to 30 feet to an unoccupied space you can see._x000D_
#Sorcerer #Warlock #Wizard</t>
  </si>
  <si>
    <t>level 5 - #enchantment Casting Time: Action Range: 30 feet Components: V, S Duration: #Concentration, up to 1 minute 
You attempt to reshape another creature's memories. One creature that you can see within range makes a Wisdom saving throw. If you are fighting the creature, it has Advantage on the save. On a failed save, the target has the Charmed condition for the duration. While Charmed in this way, the target also has the Incapacitated condition and is unaware of its surroundings, though it can hear you. If it takes any damage or is targeted by another spell, this spell ends, and no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change its memory of the event's details,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finish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a false memory of how much the creature enjoyed swimming in acid, is dismissed as a bad dream. The DM might deem a modified memory too nonsensical to affect a creature. A Remove Curse or Greater Restoration spell cast on the target restores the creature's true memory. 
Using a Higher-Level Spell Slot. You can alter the target's memories of an event that took place up to 7 days ago (level 6 spell slot), 30 days ago (level 7 spell slot), 365 days ago (level 8 spell slot), or any time in the creature's past (level 9 spell slot)._x000D_
#Bard #Wizard</t>
  </si>
  <si>
    <t>level 2 - #evocation Casting Time: Action Range: 120 feet Components: V, S, M (a moonseed leaf) Duration: #Concentration, up to 1 minute 
A silvery beam of pale light shines down in a 5-foot-radius, 40- foot-high Cylinder centered on a point within range. Until the spell ends, Dim Light fills the Cylinder, and you can take a Magic action on later turns to move the Cylinder up to 60 feet. When the Cylinder appears, each creature in it makes a Constitution saving throw. On a failed save, a creature takes 2d10 Radiant damage, and if the creature is shape-shifted (as a result of the Polymorph spell, for example), it reverts to its true form and can't shape-shift until it leaves the Cylinder. On a successful save, a creature takes half as much damage only. A creature also makes this save when the spell's area moves into its space and when it enters the spell's area or ends its turn there. A creature makes this save only once per turn. 
Using a Higher-Level Spell Slot. The damage increases by 1d10 for each spell slot level above 2._x000D_
#Druid</t>
  </si>
  <si>
    <t>level 4 - #conjuration Casting Time: Action Range: 30 feet Components: V, S, M (a silver whistle) Duration: 8 hours 
You conjure a phantom watchdog in an unoccupied space that you can see within range. The hound remains for the duration or until the two of you are more than 300 feet apart from each other. 
No one but you can see the hound, and it is intangible and invulnerable. When a Small or larger creature comes within 30 feet of it without first speaking the password that you specify when you cast this spell, the hound starts barking loudly. The hound has Truesight with a range of 30 feet. 
At the start of each of your turns, the hound attempts to bite one enemy within 5 feet of it. That enemy must succeed on a Dexterity saving throw or take 4d8 Force damage.
On your later turns, you can take a Magic action to move the hound up to 30 feet_x000D_
#Wizard</t>
  </si>
  <si>
    <t>level 7 - #conjuration Casting Time: 1 minute Range: 300 feet Components: V, S, M (a miniature door worth 15+ GP) Duration: 24 hours 
Description not available (not OGL)_x000D_
#Bard #Wizard</t>
  </si>
  <si>
    <t>level 4 - #abjuration Casting Time: 10 minutes Range: 120 feet Components: V, S, M (a thin sheet of lead) Duration: 24 hours 
You make an area within range magically secure. The area is a Cube that can be as small as 5 feet to as large as 100 feet on each side. The spell lasts for the duration. 
When you cast the spell, you decide what sort of security the spell provides, choosing any of the following properties: 
â€¢ Sound can't pass through the barrier at the edge of the warded area. 
â€¢ The barrier of the warded area appears dark and foggy, preventing vision (including Dark vision) through it. 
â€¢ Sensors created by Divination spells can't appear inside the protected area or pass through the barrier at its perimeter. 
â€¢ Creatures in the area can't be targeted by Divination spells. 
â€¢ Nothing can teleport into or out of the warded area. 
â€¢ Planar travel is blocked within the warded area. Casting this spell on the same spot every day for 365 days makes the spell last until dispelled. 
Using a Higher-Level Spell Slot. You can increase the size of the Cube by 100 feet for each spell slot level above 4_x000D_
#Wizard</t>
  </si>
  <si>
    <t>level 7 - #evocation Casting Time: Action Range: 90 feet Components: V, S, M (a miniature sword worth 250+ GP) Duration: #Concentration, up to 1 minute 
You create a spectral sword that hovers within range. It lasts for the duration. 
When the sword appears, you make a melee spell attack against a target within 5 feet of the sword. On a hit, the target takes Force damage equal to 4d12 plus your spellcasting ability modifier.
On your later turns, you can take a Bonus Action to move the sword up to 30 feet to a spot you can see and repeat the attack against the same target or a different one_x000D_
#Bard #Wizard</t>
  </si>
  <si>
    <t>level 6 - #transmutation Casting Time: Action Range: 120 feet Components: V, S, M (an miniature showel) Duration: #Concentration, up to 2 hours 
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For example, if you affect a 40-foot square, you can create a pillar up to 20 feet high, raise or lower the square's elevation by up to 20 feet, dig a trench up to 20 feet deep, and so on. It takes 10 minutes for these changes to complete. Because the terrain's transformation occurs slowly, creatures in the area can't usually be trapped or injured by the ground's movement. At the end of every 10 minutes you spend concentrating on the spell, you can choose a new area of terrain to affect within range.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it_x000D_
#Druid #Sorcerer #Wizard</t>
  </si>
  <si>
    <t>level 3 - #abjuration Casting Time: Action Range: Touch Components: V, S, M (a pinch of diamond dust worth 25+ GP, which the spell consumes) Duration: 8 hours 
For the duration, you hide a target that you touch from Divination spells. The target can be a willing creature, or it can be a place or an object no larger than 10 feet in any dimension. The target can't be targeted by any Divination spell or perceived through magical scrying sensors._x000D_
#Bard #Ranger #Wizard</t>
  </si>
  <si>
    <t>level 2 - #illusion Casting Time: Action Range: Touch Components: V, S, M (a small square of silk) Duration: 24 hours 
With a touch, you place an illusion on a willing creature or an object that isn't being worn or carried. A creature gains the Mask effect below, and an object gains the False Aura effect below. The effect lasts for the duration. If you cast the spell on the same target every day for 30 days, the illusion lasts until dispelled. 
**Mask (Creature).** Choose a creature type other than the target's actual type. Spells and other magical effects treat the target as if it were a creature of the chosen type. 
**False Aura (Object).** You change the way the target appears to spells and magical effects that detect magical auras, such as Detect Magic. You can make a nonmagical object appear magical, make a magic item appear nonmagical, or change the object's aura so that it appears to belong to a school of magic you choose._x000D_
#Wizard</t>
  </si>
  <si>
    <t>level 6 - #evocation Casting Time: Action Range: 300 feet Components: V, S, M (a small crystal sphere) Duration: Instantaneous 
Description not available (not OGL)_x000D_
#Sorcerer #Wizard</t>
  </si>
  <si>
    <t>level 4 - #evocation Casting Time: Action Range: 30 feet Components: V, S, M (a glass sphere) Duration: #Concentration, up to 1 minute 
A shimmering sphere encloses a Large or smaller creature or object within range. An unwilling creature must succeed on a Dexterity saving throw or be enclosed for the duration. Nothing-not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take an action to push against the sphere's walls and thus roll the sphere at up to half the creature's Speed. Similarly, the globe can be picked up and moved by other creatures. A Disintegrate spell targeting the globe destroys it without harming anything inside_x000D_
#Wizard</t>
  </si>
  <si>
    <t>level 6 - #enchantment Casting Time: Action Range: 30 feet Components: V Duration: #Concentration, up to 1 minute 
Description not available (not OGL)_x000D_
#Bard #Wizard</t>
  </si>
  <si>
    <t>level 2 - #abjuration Casting Time: Action Range: Self Components: V, S, M (ashes from a burned mistletoe) Duration: #Concentration, up to 1 hour 
You radiate a concealing aura in a 30-foot Emanation for the duration. While in the aura, you and each creature you choose have a +10 bonus to Dexterity (Stealth) checks and leave no tracks._x000D_
#Druid #Ranger</t>
  </si>
  <si>
    <t>level 5 - #transmutation Casting Time: Action Range: 30 feet Components: V, S, M (a pinch of sesame seads) Duration: 1 hour 
A passage appears at a point that you can see on a wooden, plaster, or stone surface (such as a wall, ceiling, or floor) within range and lasts for the duration. You choose the opening's dimensions: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spell_x000D_
#Wizard</t>
  </si>
  <si>
    <t>level 2 - #illusion Casting Time: Action Range: 60 feet Components: V, S, M (a bit of fleece) Duration: #Concentration, up to 1 minute 
You attempt to craft an illusion in the mind of a creature you can see within range. The target makes an Intelligence saving throw. On a failed save, you create a phantasmal object, creature, or other phenomenon that is no larger than a 10-foot Cube and that is perceivable only to the target for the duration. The phantasm includes sound, temperature, and other stimuli. 
The target can take a Study action to examine the phantasm with an Intelligence (Investigation) check against your spell save DC. If the check succeeds, the target realizes that the phantasm is an illusion, and the spell ends. 
While affected by the spell, the target treats the phantasm as if it were real and rationalizes any illogical outcomes from interacting with it. For example, if the target steps through a phantasmal bridge and survives the fall, it believes the bridge exists and something else caused it to fall. 
An affected target can even take damage from the illusion if the phantasm represents a dangerous creature or hazard. On each of your turns, such a phantasm can deal 2d8 Psychic damage to the target if it is in the phantasm's area or within 5 feet of the phantasm. The target perceives the damage as a type appropriate to the illusion._x000D_
#Bard #Sorcerer #Wizard</t>
  </si>
  <si>
    <t>level 4 - #illusion Casting Time: Action Range: 120 feet Components: V, S Duration: #Concentration, up to 1 minute 
You tap into the nightmares of a creature you can see within range and create an illusion of its deepest fears, visible only to that creature. The target makes a Wisdom saving throw. On a failed save, the target takes 4d10 Psychic damage and has Disadvantage on ability checks and attack rolls for the duration. On a successful save, the target takes half as much damage, and the spell ends. 
For the duration, the target makes a Wisdom saving throw at the end of each of its turns. On a failed save, it takes the Psychic damage again. On a successful save, the spell ends. 
Using a Higher-Level Spell Slot. The damage increases by 1d10 for each spell slot level above 4_x000D_
#Bard #Wizard</t>
  </si>
  <si>
    <t>level 3 - #illusion ( #ritual ) Casting Time: 1 minute or Ritual Range: 30 feet Components: V, S Duration: 1 hour 
A Large, quasi-real, horselike creature appears on the ground in an unoccupied space of your choice within range. You decide the creature's appearance, and it is equipped with a saddle, bit, and bridle. Any of the equipment created by the spell vanishes in a puff of smoke if it is carried more than 10 feet away from the steed. 
For the duration, you or a creature you choose can ride the steed. The steed uses the **Riding Horse** stat block, except it has a Speed of 100 feet and can travel 13 miles in an hour. When the spell ends, the steed gradually fades, giving the rider 1 minute to dismount. The spell ends early if the steed takes any damage_x000D_
#Wizard</t>
  </si>
  <si>
    <t>level 6 - #conjuration Casting Time: 10 minutes Range: 60 feet Components: V, S Duration: Instantaneous 
You beseech an otherworldly entity for aid. The being must be known to you: a god,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a particular way. You can ask it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possible. If you are unable to agree on a price for the creature's service, the creature immediately returns to its home plane_x000D_
#Cleric</t>
  </si>
  <si>
    <t>level 5 - #abjuration Casting Time: 1 hour Range: 60 feet Components: V, S, M (a jewel worth 1,000+ GP, which the spell consumes) Duration: 24 hours 
You attempt to bind a Celestial, an Elemental, a Fey, or a Fiend to your service. The creature must be within range for the entire casting of the spell. (Typically, the creature is first summoned into the center of the inverted version of the Magic Circle spell to trap it while this spell is cast.) At the completion of the casting, the target must succeed on a Charisma saving throw or be bound to serve you for the duration. If the creature was summoned or created by another spell, that spell's duration is extended to match the duration of this spell. 
A bound creature must follow your commands to the best of its ability. You might command the creature to accompany you on an adventure, to guard a location, or to deliver a message. If the creature is Hostile, it strives to twist your commands to achieve its own objectives. If the creature carries out your commands completely before the spell ends, it travels to you to report this fact if you are on the same plane of existence. If you are on a different plane, it returns to the place where you bound it and remains there until the spell ends. 
Using a Higher-Level Spell Slot. The duration increases with a spell slot of level 6 (10 days), 7 (30 days), 8 (180 days), and 9 (366 days)_x000D_
#Bard #Cleric #Druid #Warlock #Wizard</t>
  </si>
  <si>
    <t>level 7 - #conjuration Casting Time: Action Range: Touch Components: V, S, M (a forked, metal rod worth 250+ GP and attuned to a particular plane of existence) Duration: Instantaneous 
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as determined by the DM.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circle_x000D_
#Cleric #Druid #Sorcerer #Warlock #Wizard</t>
  </si>
  <si>
    <t>level 3 - #transmutation Casting Time: Action (Overgrowth) or 8 hours (Enrichment) Range: 150 feet Components: V, S Duration: Instantaneous 
This spell channels vitality into plants. The casting time you use determines whether the spell has the Overgrowth or the Enrichment effect below. 
**Overgrowth**. Choose a point within range. All normal plants in a 100-foot-radius Sphere centered on that point become thick and overgrown. A creature moving through that area must spend 4 feet of movement for every 1 foot it moves. You can exclude one or more areas of any size within the spell's area from being affected. 
**Enrichment**. All plants in a half-mile radius centered on a point within range become enriched for 365 days. The plants yield twice the normal amount of food when harvested. They can benefit from only one Plant Growth per year_x000D_
#Bard #Druid #Ranger</t>
  </si>
  <si>
    <t>level 0 - #necromancy Casting Time: Action Range: 30 feet Components: V, S Duration: Instantaneous 
You spray toxic mist at a creature within range. Make a ranged spell attack against the target. On a hit, the target takes 1d12 Poison damage. 
Cantrip Upgrade. The damage increases by 1d12 when you reach levels 5 (2d12), 11 (3d12), and 17 (4d12)_x000D_
#Druid #Sorcerer #Warlock #Wizard</t>
  </si>
  <si>
    <t>level 4 - #transmutation Casting Time: Action Range: 60 feet Components: V, S, M (a caterpillar cocoon) Duration: #Concentration, up to 1 hour 
You attempt to transform a creature that you can see within range into a Beast. The target must succeed on a Wisdom saving throw or shape-shift into Beast form for the duration. That form can be any Beast you choose that has a Challenge Rating equal to or less than the target's (or the target's level if it doesn't have a Challenge Rating). The target's game statistics are replaced by the stat block of the chosen Beast, but the target retains its alignment, personality, creature type, Hit Points, and Hit Point Dice. 
The target gains a number of Temporary Hit Points equal to the Hit Points of the Beast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equipment._x000D_
#Bard #Druid #Sorcerer #Wizard</t>
  </si>
  <si>
    <t>level 7 - #enchantment Casting Time: Action Range: 60 feet Components: V Duration: Instantaneous 
Description not available (not OGL)_x000D_
#Bard #Cleric</t>
  </si>
  <si>
    <t>level 9 - #enchantment Casting Time: Action Range: 60 feet Components: V Duration: Instantaneous 
A wave of healing energy washes over one creature you can see within range. The target regains all its Hit Points. If the creature has the Charmed, Frightened, Paralyzed, Poisoned, or Stunned condition, the condition ends. If the creature has the Prone condition, it can use its Reaction to stand up_x000D_
#Bard #Cleric</t>
  </si>
  <si>
    <t>level 9 - #enchantment Casting Time: Action Range: 60 feet Components: V Duration: Instantaneous 
You compel one creature you can see within range to die. If the target has 100 Hit Points or fewer, it dies. Otherwise, it takes 12d12 Psychic damage._x000D_
#Bard #Sorcerer #Warlock #Wizard</t>
  </si>
  <si>
    <t>level 8 - #enchantment Casting Time: Action Range: 60 feet Components: V Duration: Instantaneous 
You overwhelm the mind of one creature you can see within range. If the target has 150 Hit Points or fewer, it has the Stunned condition. Otherwise, its Speed is 0 until the start of your next turn. 
The Stunned target makes a Constitution saving throw at the end of each of its turns, ending the condition on itself on a success._x000D_
#Bard #Sorcerer #Warlock #Wizard</t>
  </si>
  <si>
    <t>level 2 - #abjuration Casting Time: 10 minutes Range: 30 feet Components: V Duration: Instantaneous 
Up to five creatures of your choice who remain within range for the spell's entire casting gain the benefits of a Short Rest and also regain 2d8 Hit Points. A creature can't be affected by this spell again until that creature finishes a Long Rest. 
Using a Higher-Level Spell Slot. The healing increases by 1d8 for each spell slot level above 2._x000D_
#Cleric #Paladin</t>
  </si>
  <si>
    <t>level 0 - #transmutation Casting Time: Action Range: 10 feet Components: V, S Duration: Up to 1 hour 
You create a magical effect within range. Choose the effect from the options below. If you cast this spell multiple times, you can have up to three of its non-instantaneous effects active at a time. 
**Sensory Effect**. You create an instantaneous, harmless sensory effect, such as a shower of sparks, a puff of wind, faint musical notes, or an odd odor. 
Fire Play. You instantaneously light or snuff out a candle, a torch, or a small campfire. Clean or Soil. You instantaneously clean or soil an object no larger than 1 cubic foot. 
Minor Sensation. You chill, warm, or flavor up to 1 cubic foot of nonliving material for 1 hour. 
Magic Mark. You make a color, a small mark, or a symbol appear on an object or a surface for 1 hour. 
**Minor Creation**. You create a nonmagical trinket or an illusory image that can fit in your hand. It lasts until the end of your next turn. A trinket can deal no damage and has no monetary worth._x000D_
#Bard #Sorcerer #Warlock #Wizard</t>
  </si>
  <si>
    <t>level 7 - #evocation Casting Time: Action Range: Self Components: V, S Duration: Instantaneous 
Eight rays of light flash from you in a 60-foot Cone. Each creature in the Cone makes a Dexterity saving throw. For each target, roll 1d8 to determine which color ray affects it, consulting the Prismatic Rays table.
1d8 Ray 
1     Red. Failed Save: 12d6 Fire damage. Successful Save: Half as much damage. 
2     Orange. Failed Save: 12d6 Acid damage. Successful Save: Half as much damage. 
3 Yellow. Failed Save: 12d6 Lightning damage. Successful Save: Half as much damage. 
4    Green. Failed Save: 12d6 Poison damage. Successful Save: Half as much damage. 
5    Blue. Failed Save: 12d6 Cold damage. Successful Save: Half as much damage. 
6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7    Violet. Failed Save: The target has the Blinded condition and makes a Wisdom saving throw at the start of your next turn. On a Successful Save, the condition ends. On a Failed Save, the condition ends, and the creature teleports to another plane of existence (DM's choice). 
8    Special. The target is struck by two rays. Roll twice, rerolling any 8_x000D_
#Bard #Sorcerer #Wizard</t>
  </si>
  <si>
    <t>level 9 - #abjuration Casting Time: Action Range: 60 feet Components: V, S Duration: 10 minutes 
A shimmering, multicolored plane of light forms a vertical opaque wallâ€”up to 90 feet long, 30 feet high, and 1 inch thickâ€”centered on a point within range. Alternatively, you shape the wall into a globe up to 30 feet in diameter centered on a point within range. The wall lasts for the duration. If you position the wall in a space occupied by a creature, the spell ends instantly without effect. The wall sheds Bright Light within 100 feet and Dim Light for an additional 100 feet. You and creatures you designate when you cast the spell can pass through and be near the wall without harm. If another creature that can see the wall moves within 20 feet of it or starts its turn there, the creature must succeed on a Constitution saving throw or have the Blinded condition for 1 minute. 
The wall consists of seven layers, each with a different color. When a creature reaches into or passes through the wall, it does so one layer at a time through all the layers. Each layer forces the creature to make a Dexterity saving throw or be affected by that layer's properties as described in the Prismatic Layers table. 
The wall, which has AC 10, can be destroyed one layer at a time, in order from red to violet, by means specific to each layer. If a layer is destroyed, it is gone for the duration. Antimagic Field has no effect on the wall, and Dispel Magic can affect only the violet layer. 
| Order | Effects                                                                                                                                                                                                                                                                                                                                                                                                                                                                                                                                                                   |
| ----- | ------------------------------------------------------------------------------------------------------------------------------------------------------------------------------------------------------------------------------------------------------------------------------------------------------------------------------------------------------------------------------------------------------------------------------------------------------------------------------------------------------------------------------------------------------------------------- |
| 1     | **Red.** Failed Save: 12d6 Fire damage. Successful Save: Half as much damage. Additional Effects: Nonmagical ranged attacks can't pass through this layer, which is destroyed if it takes at least 25 Cold damage.                                                                                                                                                                                                                                                                                                                                                        |
| 2     | **Orange**. Failed Save: 12d6 Acid damage. Successful Save: Half as much damage. Additional Effects: Magical ranged attacks can't pass through this layer, which is destroyed by a strong wind (such as the one created by Gust of Wind).                                                                                                                                                                                                                                                                                                                                 |
| 3     | **Yellow**. Failed Save: 12d6 Lightning damage. Successful Save: Half as much damage. Additional Effects: The layer is destroyed if it takes at least 60 Force damage.                                                                                                                                                                                                                                                                                                                                                                                                    |
| 4     | **Green**. Failed Save: 12d6 Poison damage. Successful Save: Half as much damage. Additional Effects: A Passwall spell, or another spell of equal or greater level that can open a portal on a solid surface, destroys this layer.                                                                                                                                                                                                                                                                                                                                        |
| 5     | **Blue**. Failed Save: 12d6 Cold damage. Successful Save: Half as much damage. Additional Effects: The layer is destroyed if it takes at least 25 Fire damage.                                                                                                                                                                                                                                                                                                                                                                                                            |
| 6     |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Additional Effects: Spells can't be cast through this layer, which is destroyed by Bright Light shed by the Daylight spell. |
| 7     | **Violet**. Failed Save: The target has the Blinded condition and makes a Wisdom saving throw at the start of your next turn. On a Successful Save, the condition ends. On a Failed Save, the condition ends, and the creature teleports to another plane of existence (DM's choice). Additional Effects: This layer is destroyed by Dispel Magic.                                                                                                                                                                                                                        |
_x000D_
#Bard #Wizard</t>
  </si>
  <si>
    <t>level 0 - #conjuration Casting Time: #BonusAction Range: Self Components: V, S Duration: 10 minutes 
A flickering flame appears in your hand and remains there for the duration. While there, the flame emits no heat and ignites nothing, and it sheds Bright Light in a 20-foot radius and Dim Light for an additional 20 feet. The spell ends if you cast it again. 
Until the spell ends, you can take a Magic action to hurl fire at a creature or an object within 60 feet of you. Make a ranged spell attack. On a hit, the target takes 1d8 Fire damage. 
Cantrip Upgrade. The damage increases by 1d8 when you reach levels 5 (2d8), 11 (3d8), and 17 (4d8)._x000D_
#Druid</t>
  </si>
  <si>
    <t>level 6 - #illusion Casting Time: Action Range: 120 feet Components: V, S, M (jade dust worth 25+ GP) Duration: Until dispelled 
You create an illusion of an object, a creature, or some other visible phenomenon within range that activates when a specific trigger occurs. The illusion is imperceptible until then. It must be no larger than a 30-foot Cube, and you decide when you cast the spell how the illusion behaves and what sounds it makes. This scripted performance can last up to 5 minutes.
When the trigger you specify occurs, the illusion springs into existence and performs in the manner you described. Once the illusion finishes performing, it disappears and remains dormant for 10 minutes, after which the illusion can be activated again. The trigger can be as general or as detailed as you like, though it must be based on visual or audible phenomena that occur within 30 feet of the area. For example, you could create an illusion of yourself to appear and warn off others who attempt to open a trapped door.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#Bard #Wizard</t>
  </si>
  <si>
    <t>level 7 - #illusion Casting Time: Action Range: 500 miles Components: V, S, M (a statuette of yourself worth 5+ GP) Duration: #Concentration, up to 1 day 
You create an illusory copy of yourself that lasts for the duration. The copy can appear at any location within range that you have seen before, regardless of intervening obstacles. The illusion looks and sounds like you, but it is intangible. If the illusion takes any damage, it disappears, and the spell ends. 
You can see through the illusion's eyes and hear through its ears as if you were in its space. As a Magic action, you can move it up to 60 feet and make it gesture, speak, and behave in whatever way you choose. It mimics your mannerisms perfectly.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#Bard #Wizard</t>
  </si>
  <si>
    <t>level 3 - #abjuration Casting Time: Action Range: Touch Components: V, S Duration: #Concentration, up to 1 hour 
For the duration, the willing creature you touch has Resistance to one damage type of your choice: Acid, Cold, Fire, Lightning, or Thunder_x000D_
#Cleric #Druid #Ranger #Sorcerer #Wizard</t>
  </si>
  <si>
    <t>level 1 - #abjuration Casting Time: Action Range: Touch Components: V, S, M (a flask of Holy Water worth 25+ GP, which the spell consumes) Duration: #Concentration, up to 10 minutes 
Until the spell ends, one willing creature you touch is protected against creatures that are Aberrations, Celestials, Elementals, Fey, Fiends, or Undead. The protection grants several benefits. Creatures of those types have Disadvantage on attack rolls against the target. The target also can't be possessed by or gain the Charmed or Frightened conditions from them. If the target is already possessed, Charmed, or Frightened by such a creature, the target has Advantage on any new saving throw against the relevant effect._x000D_
#Cleric #Druid #Paladin #Warlock #Wizard</t>
  </si>
  <si>
    <t>level 2 - #abjuration Casting Time: Action Range: Touch Components: V, S Duration: 1 hour 
You touch a creature and end the Poisoned condition on it. For the duration, the target has Advantage on saving throws to avoid or end the Poisoned condition, and it has Resistance to Poison damage._x000D_
#Cleric #Druid #Paladin #Ranger</t>
  </si>
  <si>
    <t>level 1 - #transmutation ( #ritual ) Casting Time: Action or Ritual Range: 10 feet Components: V, S Duration: Instantaneous 
You remove poison and rot from nonmagical food and drink in a 5- foot-radius Sphere centered on a point within range_x000D_
#Cleric #Druid #Paladin</t>
  </si>
  <si>
    <t>level 5 - #necromancy Casting Time: 1 hour Range: Touch Components: V, S, M (a diamond worth 500+ GP, which the spell consumes) Duration: Instantaneous 
With a touch, you revive a dead creature if it has been dead no longer than 10 days and it wasn't Undead when it died. The creature returns to life with 1 Hit Point. This spell also neutralizes any poisons that affected the creature at the time of death. 
This spell closes all mortal wounds, but it doesn't restore missing body parts. If the creature is lacking body parts or organs integral for its survivalâ€”its head, for instanceâ€”the spell automatically fails. Coming back from the dead is an ordeal. The target takes a âˆ’4 penalty to D20 Tests. Every time the target finishes a Long Rest, the penalty is reduced by 1 until it becomes 0_x000D_
#Bard #Cleric #Paladin</t>
  </si>
  <si>
    <t>level 5 - #divination ( #ritual ) Casting Time: Action or Ritual Range: 30 feet Components: V, S, M (two eggs) Duration: 1 hour 
Description not available (not OGL)_x000D_
#Bard #Wizard</t>
  </si>
  <si>
    <t>level 2 - #necromancy Casting Time: Action Range: 60 feet Components: V, S Duration: #Concentration, up to 1 minute 
A beam of enervating energy shoots from you toward a creature within range. The target must make a Constitution saving throw. On a successful save, the target has Disadvantage on the next attack roll it makes until the start of your next turn. 
On a failed save, the target has Disadvantage on Strength-based D20 Tests for the duration. During that time, it also subtracts 1d8 from all its damage rolls. The target repeats the save at the end of each of its turns, ending the spell on a success._x000D_
#Warlock #Wizard</t>
  </si>
  <si>
    <t>level 0 - #evocation Casting Time: Action Range: 60 feet Components: V, S Duration: Instantaneous 
A frigid beam of blue-white light streaks toward a creature within range. Make a ranged spell attack against the target. On a hit, it takes 1d8 Cold damage, and its Speed is reduced by 10 feet until the start of your next turn. 
Cantrip Upgrade. The damage increases by 1d8 when you reach levels 5 (2d8), 11 (3d8), and 17 (4d8)._x000D_
#Sorcerer #Wizard</t>
  </si>
  <si>
    <t>level 1 - #necromancy Casting Time: Action Range: 60 feet Components: V, S Duration: Instantaneous 
You shoot a greenish ray at a creature within range. Make a ranged spell attack against the target. On a hit, the target takes 2d8 Poison damage and has the Poisoned condition until the end of your next turn. 
Using a Higher-Level Spell Slot. The damage increases by 1d8 for each spell slot level above 1_x000D_
#Sorcerer #Wizard</t>
  </si>
  <si>
    <t>level 7 - #transmutation Casting Time: 1 minute Range: Touch Components: V, S, M (a prayer wheel) Duration: 1 hour 
A creature you touch regains 4d8 + 15 Hit Points. For the duration, the target regains 1 Hit Point at the start of each of its turns, and any severed body parts regrow after 2 minutes._x000D_
#Bard #Cleric #Druid</t>
  </si>
  <si>
    <t>level 5 - #necromancy Casting Time: 1 hour Range: Touch Components: V, S, M (rare oils worth 1,000+ GP, which the spell consumes) Duration: Instantaneous 
You touch a dead Humanoid or a piece of one. If the creature has been dead no longer than 10 days, the spell forms a new body for it and calls the soul to enter that body. Roll 1d10 and consult the table below to determine the bodyâ€™s species, or the DM chooses another playable species. 
| 1d10 | Species    |
| ---- | ---------- |
| 1    | Aasimar    |
| 2    | Dragonborn |
| 3    | Dwarf      |
| 4    | Elf        |
| 5    | Gnome      |
| 6    | Goliath    |
| 7    | Halfling   |
| 8    | Human      |
| 9    | Orc        |
| 10   | Tiefling   |
  The reincarnated creature makes any choices that a speciesâ€™ description offers, and the creature recalls its former life. It retains the capabilities it had in its original form, except it loses the traits of its previous species and gains the traits of its new one_x000D_
#Druid</t>
  </si>
  <si>
    <t>level 3 - #abjuration Casting Time: Action Range: Touch Components: V, S Duration: Instantaneous 
At your touch, all curses affecting one creature or object end. If the object is a cursed magic item, its curse remains, but the spell breaks its owner's Attunement to the object so it can be removed or discarded_x000D_
#Cleric #Paladin #Warlock #Wizard</t>
  </si>
  <si>
    <t>level 0 - #abjuration Casting Time: Action Range: Touch Components: V, S Duration: #Concentration, up to 1 minute 
You touch a willing creature and choose a damage type: Acid, Bludgeoning, Cold, Fire, Lightning, Necrotic, Piercing, Poison, Radiant, Slashing, or Thunder. When the creature takes damage of the chosen type before the spell ends, the creature reduces the total damage taken by 1d4. A creature can benefit from this spell only once per turn._x000D_
#Cleric #Druid</t>
  </si>
  <si>
    <t>level 7 - #necromancy Casting Time: 1 hour Range: Touch Components: V, S, M (a diamond worth 1,000+ GP, which the spell consumes) Duration: Instantaneous 
With a touch, you revive a dead creature that has been dead for no more than a century, didn't die of old age, and wasn't Undead when it died. 
The creature returns to life with all its Hit Points. This spell also neutralizes any poisons that affected the creature at the time of death. This spell closes all mortal wounds and restores any missing body parts. 
Coming back from the dead is an ordeal. The target takes a âˆ’4 penalty to D20 Tests. Every time the target finishes a Long Rest, the penalty is reduced by 1 until it becomes 0. 
Casting this spell to revive a creature that has been dead for 365 days or longer taxes you. Until you finish a Long Rest, you can't cast spells again, and you have Disadvantage on D20 Tests._x000D_
#Bard #Cleric</t>
  </si>
  <si>
    <t>level 7 - #transmutation Casting Time: Action Range: 100 feet Components: V, S, M (a lodestone and iron filings) Duration: #Concentration, up to 1 minute 
This spell reverses gravity in a 50-foot-radius, 100-foot high Cylinder centered on a point within range. All creatures and objects in that area that aren't anchored to the ground fall upward and reach the top of the Cylinder. A creature can make a Dexterity saving throw to grab a fixed object it can reach, thus avoiding the fall upward. 
If a ceiling or an anchored object is encountered in this upward fall, creatures and objects strike it just as they would during a downward fall. If an affected creature or object reaches the Cylinder's top without striking anything, it hovers there for the duration. When the spell ends, affected objects and creatures fall downward._x000D_
#Druid #Sorcerer #Wizard</t>
  </si>
  <si>
    <t>level 3 - #necromancy Casting Time: Action Range: Touch Components: V, S, M (diamonds worth 300+ GP, which the spell consumes) Duration: Instantaneous 
You touch a creature that has died within the last minute. That creature revives with 1 Hit Point. This spell can't revive a creature that has died of old age, nor does it restore any missing body parts_x000D_
#Cleric #Druid #Paladin #Ranger</t>
  </si>
  <si>
    <t>level 2 - #transmutation Casting Time: Action Range: Touch Components: V, S, M (a segment of rope) Duration: 1 hour 
You touch a rope. One end of it hovers upward until the rope hangs perpendicular to the ground or the rope reaches a ceiling. At the rope's upper end, an Invisible 3-foot-by-5-foot portal opens to an extradimensional space that lasts until the spell ends. That space can be reached by climbing the rope, which can be pulled into or dropped out of it. 
The space can hold up to eight Medium or smaller creatures. Attacks, spells, and other effects can't pass into or out of the space, but creatures inside it can see through the portal. Anything inside the space drops out when the spell ends_x000D_
#Wizard</t>
  </si>
  <si>
    <t>level 0 - #evocation Casting Time: Action Range: 60 feet Components: V, S Duration: Instantaneous 
Flame-like radiance descends on a creature that you can see within range. The target must succeed on a Dexterity saving throw or take 1d8 Radiant damage. The target gains no benefit from Half Cover or Three-Quarters Cover for this save. 
Cantrip Upgrade. The damage increases by 1d8 when you reach levels 5 (2d8), 11 (3d8), and 17 (4d8)_x000D_
#Cleric</t>
  </si>
  <si>
    <t>level 1 - #abjuration Casting Time: #BonusAction Range: 30 feet Components: V, S, M (a shard of glass from a mirror) Duration: 1 minute 
You ward a creature within range. Until the spell ends, any creature who targets the warded creature with an attack roll or a damaging spell must succeed on a Wisdom saving throw or either choose a new target or lose the attack or spell. This spell doesn't protect the warded creature from areas of effect. 
The spell ends if the warded creature makes an attack roll, casts a spell, or deals damage_x000D_
#Cleric</t>
  </si>
  <si>
    <t>level 2 - #evocation Casting Time: Action Range: 120 feet Components: V, S Duration: Instantaneous 
You hurl three fiery rays. You can hurl them at one target within range or at several. Make a ranged spell attack for each ray. On a hit, the target takes 2d6 Fire damage. 
Using a Higher-Level Spell Slot. You create one additional ray for each spell slot level above 2_x000D_
#Sorcerer #Wizard</t>
  </si>
  <si>
    <t>level 5 - #divination Casting Time: 10 minutes Range: Self Components: V, S, M (a focus worth 1,000+ GP, such as a crystal ball, mirror, or water-filled font) Duration: #Concentration, up to 10 minutes 
You can see and hear a creature you choose that is on the same plane of existence as you. The target makes a Wisdom saving throw, which is modified (see the tables below) by how well you know the target and the sort of physical connection you have to it. The target doesnâ€™t know what it is making the save against, only that it feels uneasy. 
| Your Knowledge of the Target Is... | Save Modifier |
| ---------------------------------- | ------------- |
| Secondhand (heard of the target)   | +5            |
| Firsthand (met the target)         | +0            |
| Extensive (know the target well)   | -5            |
| You Have the Targetâ€™s...                | Save Modifier |
| --------------------------------------- | ------------- |
| Picture or other likeness               | -2            |
| Garment or other possession             | -4            |
| Body part, lock of hair, or bit of nail | -10           |
On a successful save, the target isnâ€™t affected, and you canâ€™t use this spell on it again for 24 hours. 
On a failed save, the spell creates an Invisible, intangible sensor within 10 feet of the target. You can see and hear through the sensor as if you were there. The sensor moves with the target, remaining within 10 feet of it for the duration. If something can see the sensor, it appears as a luminous orb about the size of your fist. Instead of targeting a creature, you can target a location you have seen. When you do so, the sensor appears at that location and doesnâ€™t move._x000D_
#Bard #Cleric #Druid #Warlock #Wizard</t>
  </si>
  <si>
    <t>level 1 - #evocation Casting Time: #BonusAction, which you take immediately after hitting a target with a Melee weapon or an Unarmed Strike Range: Self Components: V Duration: 1 minute 
As you hit the target, it takes an extra 1d6 Fire damage from the attack. At the start of each of its turns until the spell ends, the target takes 1d6 Fire damage and then makes a Constitution saving throw. On a failed save, the spell continues. On a successful save, the spell ends. 
Using a Higher-Level Spell Slot. All the damage increases by 1d6 for each spell slot level above 1_x000D_
#Paladin</t>
  </si>
  <si>
    <t>level 2 - #divination Casting Time: Action Range: Self Components: V, S, M (a pinch of talc) Duration: 1 hour 
For the duration, you see creatures and objects that have the Invisible condition as if they were visible, and you can see into the Ethereal Plane. Creatures and objects there appear ghostly_x000D_
#Bard #Sorcerer #Wizard</t>
  </si>
  <si>
    <t>level 5 - #illusion Casting Time: Action Range: 30 feet Components: V, S Duration: 8 hours 
You give an illusory appearance to each creature of your choice that you can see within range. An unwilling target can make a Charisma saving throw, and if it succeeds, it is unaffected by this spell. 
You can give the same appearance or different ones to the targets. The spell can change the appearance of the targets' bodies and equipment. You can make each creature seem 1 foot shorter or taller and appear heavier or lighter. A target's new appearance must have the same basic arrangement of limbs as the target, but the extent of the illusion is otherwise up to you. The spell lasts for the duration. 
The changes wrought by this spell fail to hold up to physical inspection. For example, if you use this spell to add a hat to a creature's outfit, objects pass through the hat. 
A creature that takes the Study action to examine a target can make an Intelligence (Investigation) check against your spell save DC. If it succeeds, it becomes aware that the target is disguised._x000D_
#Bard #Sorcerer #Wizard</t>
  </si>
  <si>
    <t>level 3 - #divination Casting Time: Action Range: Unlimited Components: V, S, M (a copper wire) Duration: Instantaneous 
You send a short message of 25 words or fewer to a creature you have met or a creature described to you by someone who has met it. The target hears the message in its mind, recognizes you as the sender if it knows you, and can answer in a like manner immediately. The spell enables targets to understand the meaning of your message. 
You can send the message across any distance and even to other planes of existence, but if the target is on a different plane than you, there is a 5 percent chance that the message doesn't arrive. You know if the delivery fails. 
Upon receiving your message, a creature can block your ability to reach it again with this spell for 8 hours. If you try to send another message during that time, you learn that you are blocked, and the spell fails_x000D_
#Bard #Cleric #Wizard</t>
  </si>
  <si>
    <t>level 7 - #transmutation Casting Time: Action Range: Touch Components: V, S, M (gem dust worth 5,000+ GP, which the spell consumes) Duration: Until dispelled 
With a touch, you magically sequester an object or a willing creature. For the duration, the target has the Invisible condition and can't be targeted by Divination spells, detected by magic, or viewed remotely with magic. 
If the target is a creature, it enters a state of suspended animation; it has the Unconscious condition, doesn't age, and doesn't need food, water, or air. 
You can set a condition for the spell to end early. The condition can be anything you choose, but it must occur or be visible within 1 mile of the target. Examples include â€œafter 1,000 yearsâ€ or â€œwhen the tarrasque awakens.â€ This spell also ends if the target takes any damage._x000D_
#Wizard</t>
  </si>
  <si>
    <t>level 9 - #transmutation Casting Time: Action Range: Self Components: V, S, M (a jade circlet worth 1,500+ GP) Duration: #Concentration, up to 1 hour 
You shape-shift into another creature for the duration or until you take a Magic action to shape-shift into a different eligible form. The new form must be of a creature that has a Challenge Rating no higher than your level or Challenge Rating. You must have seen the sort of creature before, and it can't be a Construct or an Undead. When you shape-shift, you gain a number of Temporary Hit Points equal to the Hit Points of the form. The spell ends early if you have no Temporary Hit Points left. 
Your game statistics are replaced by the stat block of the chosen form, but you retain your creature type; alignment; personality; Intelligence, Wisdom, and Charisma scores; Hit Points; Hit Point Dice; proficiencies; and ability to communicate. If you have the Spellcasting feature, you retain it too. 
Upon shape-shifting, you determine whether your equipment drops to the ground or changes in size and shape to fit the new form while you're in it._x000D_
#Druid #Wizard</t>
  </si>
  <si>
    <t>level 2 - #evocation Casting Time: Action Range: 60 feet Components: V, S, M (a chip of mica) Duration: Instantaneous 
A loud noise erupts from a point of your choice within range. Each creature in a 10-foot-radius Sphere centered there makes a Constitution saving throw, taking 3d8 Thunder damage on a failed save or half as much damage on a successful one. A Construct has Disadvantage on the save.
A nonmagical object that isn't being worn or carried also takes the damage if it's in the spell's area. 
Using a Higher-Level Spell Slot. The damage increases by 1d8 for each spell slot level above 2_x000D_
#Bard #Sorcerer #Wizard</t>
  </si>
  <si>
    <t>level 1 - #abjuration Casting Time: #BonusAction Range: 60 feet Components: V, S, M (a prayer scroll) Duration: #Concentration, up to 10 minutes 
A shimmering field surrounds a creature of your choice within range, granting it a +2 bonus to AC for the duration_x000D_
#Cleric #Paladin</t>
  </si>
  <si>
    <t>level 1 - #abjuration Casting Time: #Reaction, which you take when you are hit by an attack roll or targeted by the Magic Missile spell Range: Self Components: V, S Duration: 1 round 
An imperceptible barrier of magical force protects you. Until the start of your next turn, you have a +5 bonus to AC, including against the triggering attack, and you take no damage from Magic Missile_x000D_
#Sorcerer #Wizard</t>
  </si>
  <si>
    <t>level 0 - #transmutation Casting Time: #BonusAction Range: Self Components: V, S, M (mistletoe) Duration: 1 minute 
A Club or Quarterstaff you are holding is imbued with nature's power. For the duration, you can use your spellcasting ability instead of Strength for the attack and damage rolls of melee attacks using that weapon, and the weapon's damage die becomes a d8. If the attack deals damage, it can be Force damage or the weapon's normal damage type (your choice).
The spell ends early if you cast it again or if you let go of the weapon. 
Cantrip Upgrade. The weapon's damage die changes when you reach levels 5 (d10), 11 (d12), and 17 (2d6)_x000D_
#Druid</t>
  </si>
  <si>
    <t>level 2 - #transmutation Casting Time: #BonusAction, which you take immediately after hitting a creature with a Melee weapon or an Unarmed Strike Range: Self Components: V Duration: #Concentration, up to 1 minute 
The target hit by the strike takes an extra 2d6 Radiant damage from the attack. Until the spell ends, the target sheds Bright Light in a 5-foot radius, attack rolls against it have Advantage, and it can't benefit from the Invisible condition. 
Using a Higher-Level Spell Slot. The damage increases by 1d6 for each spell slot level above 2_x000D_
#Paladin</t>
  </si>
  <si>
    <t>level 0 - #evocation Casting Time: Action Range: Touch Components: V, S Duration: Instantaneous 
Lightning springs from you to a creature that you try to touch. Make a melee spell attack against the target. On a hit, the target takes 1d8 Lightning damage, and it can't make Opportunity Attacks until the start of its next turn. 
Cantrip Upgrade. The damage increases by 1d8 when you reach levels 5 (2d8), 11 (3d8), and 17 (4d8)_x000D_
#Sorcerer #Wizard</t>
  </si>
  <si>
    <t>level 2 - #illusion ( #ritual ) Casting Time: Action or Ritual Range: 120 feet Components: V, S Duration: #Concentration, up to 10 minutes 
For the duration, no sound can be created within or pass through a 20-foot-radius Sphere centered on a point you choose within range. Any creature or object entirely inside the Sphere has Immunity to Thunder damage, and creatures have the Deafened condition while entirely inside it. Casting a spell that includes a Verbal component is impossible there._x000D_
#Bard #Cleric #Ranger</t>
  </si>
  <si>
    <t>level 1 - #illusion Casting Time: Action Range: 60 feet Components: V, S, M (a bit of fleece) Duration: #Concentration, up to 10 minutes 
You create the image of an object, a creature, or some other visible phenomenon that is no larger than a 15-foot Cube. The image appears at a spot within range and lasts for the duration. The image is purely visual; it isn't accompanied by sound, smell, or other sensory effects. 
As a Magic action, you can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since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image._x000D_
#Bard #Sorcerer #Wizard</t>
  </si>
  <si>
    <t>level 7 - #illusion Casting Time: 12 hours Range: Touch Components: V, S, M (powdered ruby worth 1,500+ GP, which the spells consumes) Duration: Until dispelled 
You create a simulacrum of one Beast or Humanoid that is within 10 feet of you for the entire casting of the spell. You finish the casting by touching both the creature and a pile of ice or snow that is the same size as that creature, and the pile turns into the simulacrum, which is a creature. It uses the game statistics of the original creature at the time of casting, except it is a Construct, its Hit Point maximum is half as much, and it can't cast this spell.
The simulacrum is Friendly to you and creatures you designate. It obeys your commands and acts on your turn in combat. The simulacrum can't gain levels, and it can't take Short or Long Rests. If the simulacrum takes damage, the only way to restore its Hit Points is to repair it as you take a Long Rest, during which you expend components worth 100 GP per Hit Point restored. The simulacrum must stay within 5 feet of you for the repair.
The simulacrum lasts until it drops to 0 Hit Points, at which point it reverts to snow and melts away. If you cast this spell again, any simulacrum you created with this spell is instantly destroyed_x000D_
#Wizard</t>
  </si>
  <si>
    <t>level 1 - #enchantment Casting Time: Action Range: 60 feet Components: V, S, M (a pinch of sand or rose petals) Duration: #Concentration, up to 1 minute 
Each creature of your choice in a 5-foot-radius Sphere centered on a point within range must succeed on a Wisdom saving throw or have the Incapacitated condition until the end of its next turn, at which point it must repeat the save. If the target fails the second save, the target has the Unconscious condition for the duration. The spell ends on a target if it takes damage or someone within 5 feet of it takes an action to shake it out of the spell's effect.
Creatures that don't sleep, such as elves, or that have Immunity to the Exhaustion condition automatically succeed on saves against this spell_x000D_
#Bard #Sorcerer #Wizard</t>
  </si>
  <si>
    <t>level 3 - #conjuration Casting Time: Action Range: 150 feet Components: V, S, M (a miniature umbrella) Duration: #Concentration, up to 1 minute 
Until the spell ends, sleet falls in a 40-foot-tall, 20-foot-radius Cylinder centered on a point you choose within range. The area is Heavily Obscured, and exposed flames in the area are doused. Ground in the Cylinder is Difficult Terrain. When a creature enters the Cylinder for the first time on a turn or starts its turn there, it must succeed on a Dexterity saving throw or have the Prone condition and lose #Concentration_x000D_
#Druid #Sorcerer #Wizard</t>
  </si>
  <si>
    <t>level 3 - #transmutation Casting Time: Action Range: 120 feet Components: V, S, M (a drop of molasses) Duration: #Concentration, up to 1 minute 
You alter time around up to six creatures of your choice in a 40- foot Cube within range. Each target must succeed on a Wisdom saving throw or be affected by this spell for the duration. 
An affected target's Speed is halved, it takes a âˆ’2 penalty to AC and Dexterity saving throws, and it can't take Reactions. On its turns, it can take either an action or a Bonus Action, not both, and it can make only one attack if it takes the Attack action. If it casts a spell with a Somatic component, there is a 25 percent chance the spell fails as a result of the target making the spell's gestures too slowly. 
An affected target repeats the save at the end of each of its turns, ending the spell on itself on a success_x000D_
#Bard #Sorcerer #Wizard</t>
  </si>
  <si>
    <t>level 0 - #evocation Casting Time: Action Range: 120 feet Components: V, S Duration: Instantaneous 
You cast sorcerous energy at one creature or object within range. Make a ranged attack roll against the target. On a hit, the target takes 1d8 damage of a type you choose: Acid, Cold, Fire, Lightning, Poison, Psychic, or Thunder. 
If you roll an 8 on a d8 for this spell, you can roll another d8, and add it to the damage. When you cast this spell, the maximum number of these d8s you can add to the spell's damage equals your spellcasting ability modifier. 
Cantrip Upgrade. This damage increases by 1d8 when you reach level 5 (2d8), 11 (3d8), and 17 (4d8)._x000D_
#Sorcerer</t>
  </si>
  <si>
    <t>level 0 - #necromancy Casting Time: Action Range: 15 feet Components: V, S Duration: Instantaneous 
Choose a creature within range that has 0 Hit Points and isn't dead. The creature becomes Stable. 
Cantrip Upgrade. The range doubles when you reach levels 5 (30 feet), 11 (60 feet), and 17 (120 feet)_x000D_
#Cleric #Druid</t>
  </si>
  <si>
    <t>level 1 - #divination ( #ritual ) Casting Time: Action or Ritual Range: Self Components: V, S Duration: 10 minutes 
For the duration, you can comprehend and verbally communicate with Beasts, and you can use any of the Influence action's skill options with them. 
Most Beasts have little to say about topics that don't pertain to survival or companionship, but at minimum, a Beast can give you information about nearby locations and monsters, including whatever it has perceived within the past day._x000D_
#Bard #Druid #Ranger #Warlock</t>
  </si>
  <si>
    <t>level 3 - #necromancy Casting Time: Action Range: 10 feet Components: V, S, M (burning incense) Duration: 10 minutes 
You grant the semblance of life to a corpse of your choice within range, allowing it to answer questions you pose. The corpse must have a mouth, and this spell fails if the deceased creature was Undead when it died. The spell also fails if the corpse was the target of this spell within the past 10 days. 
Until the spell ends, you can ask the corpse up to five questions. The corpse knows only what it knew in life, including the languages it knew. Answers are usually brief, cryptic, or repetitive, and the corpse is under no compulsion to offer a truthful answer if you are antagonistic toward it or it recognizes you as an enemy. This spell doesn't return the creature's soul to its body, only its animating spirit. Thus, the corpse can't learn new information, doesn't comprehend anything that has happened since it died, and can't speculate about future events._x000D_
#Bard #Cleric #Wizard</t>
  </si>
  <si>
    <t>level 3 - #transmutation Casting Time: Action Range: Self Components: V, S Duration: 10 minutes 
You imbue plants in an immobile 30-foot Emanation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The spell doesn't enable plants to uproot themselves and move about, but they can move their branches, tendrils, and stalks for you. 
If a Plant creature is in the area, you can communicate with it as if you shared a common language._x000D_
#Bard #Druid #Ranger</t>
  </si>
  <si>
    <t>level 2 - #transmutation Casting Time: Action Range: Touch Components: V, S, M (a drop of bitumen and a spider) Duration: #Concentration, up to 1 hour 
Until the spell ends, one willing creature you touch gains the ability to move up, down, and across vertical surfaces and along ceilings, while leaving its hands free. The target also gains a Climb Speed equal to its Speed. 
Using a Higher-Level Spell Slot. You can target one additional creature for each spell slot level about 2._x000D_
#Sorcerer #Warlock #Wizard</t>
  </si>
  <si>
    <t>level 2 - #transmutation Casting Time: Action Range: 150 feet Components: V, S, M (seven thorns) Duration: #Concentration, up to 10 minutes 
The ground in a 20-foot-radius Sphere centered on a point within range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when the spell is cast must take a Search action and succeed on a Wisdom (Perception or Survival) check against your spell save DC to recognize the terrain as hazardous before entering it_x000D_
#Druid #Ranger</t>
  </si>
  <si>
    <t>level 3 - #conjuration Casting Time: Action Range: Self Components: V, S, M (a prayer scroll) Duration: #Concentration, up to 10 minutes 
Protective spirits flit around you in a 15-foot Emanation for the duration. If you are good or neutral, their spectral form appears angelic or fey (your choice). If you are evil, they appear fiendish. When you cast this spell, you can designate creatures to be unaffected by it. Any other creature's Speed is halved in the Emanation, and whenever the Emanation enters a creature's space and whenever a creature enters the Emanation or ends its turn there, the creature must make a Wisdom saving throw. On a failed save, the creature takes 3d8 Radiant damage (if you are good or neutral) or 3d8 Necrotic damage (if you are evil). On a successful save, the creature takes half as much damage. A creature makes this save only once per turn. 
Using a Higher-Level Spell Slot. The damage increases by 1d8 for each spell slot level above 3_x000D_
#Cleric</t>
  </si>
  <si>
    <t>level 2 - #evocation Casting Time: #BonusAction Range: 60 feet Components: V, S Duration: #Concentration, up to 1 minute 
You create a floating, spectral force that resembles a weapon of your choice and lasts for the duration. 
The force appears within range in a space of your choice, and you can immediately make one melee spell attack against one creature within 5 feet of the force. On a hit, the target takes Force damage equal to 1d8 plus your spellcasting ability modifier. 
As a Bonus Action on your later turns, you can move the force up to 20 feet and repeat the attack against a creature within 5 feet of it. 
Using a Higher-Level Spell Slot. The damage increases by 1d8 for every slot level above 2._x000D_
#Cleric</t>
  </si>
  <si>
    <t>level 4 - #enchantment Casting Time: #BonusAction, which you take immediately after hitting a creature with a Melee weapon or an Unarmed Strike Range: Self Components: V Duration: Instantaneous 
The target takes an extra 4d6 Psychic damage from the attack, and the target must succeed on a Wisdom saving throw or have the Stunned condition until the end of your next turn. 
Using a Higher-Level Spell Slot. The extra damage increases by 1d6 for each spell slot level above 4_x000D_
#Paladin</t>
  </si>
  <si>
    <t>level 0 - #evocation Casting Time: Action Range: 60 feet Components: V, S Duration: Instantaneous 
You launch a mote of light at one creature or object within range. Make a ranged spell attack against the target. On a hit, the target takes 1d8 Radiant damage, and until the end of your next turn, it emits Dim Light in a 10-foot radius and can't benefit from the Invisible condition. 
Cantrip Upgrade. The damage increases by 1d8 when you reach levels 5 (2d8), 11 (3d8), and 17 (4d8)_x000D_
#Bard #Druid</t>
  </si>
  <si>
    <t>level 5 - #conjuration Casting Time: Action Range: 30 feet Components: S, M (a Melee weapon worth 1+ SP) Duration: Instantaneous 
Description not available (not OGL)_x000D_
#Ranger #Wizard</t>
  </si>
  <si>
    <t>level 3 - #conjuration Casting Time: Action Range: 90 feet Components: V, S, M (a rotten egg) Duration: #Concentration, up to 1 minute 
You create a 20-foot-radius Sphere of yellow, nauseating gas centered on a point within range. The cloud is Heavily Obscured. The cloud lingers in the air for the duration or until a strong wind (such as the one created by Gust of Wind) disperses it. 
Each creature that starts its turn in the Sphere must succeed on a Constitution saving throw or have the Poisoned condition until the end of the current turn. While Poisoned in this way, the creature can't take an action or a Bonus Action._x000D_
#Bard #Sorcerer #Wizard</t>
  </si>
  <si>
    <t>level 4 - #transmutation Casting Time: Action Range: Touch Components: V, S, M (soft clay) Duration: Instantaneous 
You touch a stone object of Medium size or smaller or a section of stone no more than 5 feet in any dimension and form it into any shape you like. For example, you could shape a large rock into a weapon, statue, or coffer, or you could make a small passage through a wall that is 5 feet thick. You could also shape a stone door or its frame to seal the door shut. The object you create can have up to two hinges and a latch, but finer mechanical detail isn't possible._x000D_
#Cleric #Druid #Wizard</t>
  </si>
  <si>
    <t>level 4 - #transmutation Casting Time: Action Range: Touch Components: V, S, M (diamond dust worth 100+ GP, which the spell consumes) Duration: #Concentration, up to 1 hour 
Until the spell ends, one willing creature you touch has Resistance to Bludgeoning, Piercing, and Slashing damage_x000D_
#Druid #Ranger #Sorcerer #Wizard</t>
  </si>
  <si>
    <t>level 9 - #conjuration Casting Time: Action Range: 1 mile Components: V, S Duration: #Concentration, up to 1 minute 
A churning storm cloud forms for the duration, centered on a point within range and spreading to a radius of 300 feet. Each creature under the cloud when it appears must succeed on a Constitution saving throw or take 2d6 Thunder damage and have the Deafened condition for the duration. 
At the start of each of your later turns, the storm produces different effects, as detailed below. 
**Turn 2**. Acidic rain falls. Each creature and object under the cloud takes 4d6 Acid damage. 
**Turn 3**. You call six bolts of lightning from the cloud to strike six different creatures or objects beneath it. Each target makes a Dexterity saving throw, taking 10d6 Lightning damage on a failed save or half as much damage on a successful one. 
**Turn 4**. Hailstones rain down. Each creature under the cloud takes 2d6 Bludgeoning damage. 
**Turns 5-10**. Gusts and freezing rain assail the area under the cloud. Each creature there takes 1d6 Cold damage. Until the spell ends, the area is Difficult Terrain and Heavily Obscured, ranged attacks with weapons are impossible there, and strong wind blows through the area._x000D_
#Druid</t>
  </si>
  <si>
    <t>level 2 - #enchantment Casting Time: Action Range: 30 feet Components: V, M (a drop of honey) Duration: #Concentration, up to 8 hours 
You suggest a course of activityâ€”described in no more than 25 wordsâ€”to one creature you can see within range that can hear and understand you. The suggestion must sound achievable and not involve anything that would obviously deal damage to the target or its allies. For example, you could say, â€œFetch the key to the cult's treasure vault, and give the key to me.â€ Or you could say, â€œStop fighting, leave this library peacefully, and don't return.â€ 
The target must succeed on a Wisdom saving throw or have the Charmed condition for the duration or until you or your allies deal damage to the target. The Charmed target pursues the suggestion to the best of its ability. The suggested activity can continue for the entire duration, but if the suggested activity can be completed in a shorter time, the spell ends for the target upon completing it_x000D_
#Bard #Sorcerer #Warlock #Wizard</t>
  </si>
  <si>
    <t>level 4 - #conjuration Casting Time: Action Range: 90 feet Components: V, S, M (a pickled tentacle and an eyeball in a platinum-inlaid vial worth 400+ GP) Duration: #Concentration, up to 1 hour 
You call forth an aberrant spirit. It manifests in an unoccupied space that you can see within range and uses the Aberrant Spirit stat block. When you cast the spell, choose Beholderkin, Mind Flayer, or Slaad. The creature resembles an Aberration of that kind, which determines certain details in its stat block. The creature disappears when it drops to 0 Hit Points or when the spell ends. 
The creature is an ally to you and your allies. In combat, it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#Warlock #Wizard</t>
  </si>
  <si>
    <t>level 2 - #conjuration Casting Time: Action Range: 90 feet Components: V, S, M (a feather, tuft of fur, and fish tail inside a gilded acorn worth 200+ GP) Duration: #Concentration, up to 1 hour 
You call forth a bestial spirit. It manifests in an unoccupied space that you can see within range and uses the Bestial Spirit stat block. When you cast the spell, choose an environment: Air, Land, or Water. The creature resembles an animal of your choice that is native to the chosen environment, which determines certain details in its stat block. The creature disappears when it drops to O Hit Points or when the spell ends. 
The creature is an ally to you and your allies. In combat, the creature shares your Initiative count, but it takes its turn immediately afler yours. It obeys your verbal commands (no action required by you). If you don't issue any, it takes the Dodge action and uses its movement to avoid danger. 
Using a Higher-Level Spell Slot. Use the spell slot's level for the spell's level in the stat block._x000D_
#Druid #Ranger</t>
  </si>
  <si>
    <t>level 5 - #conjuration Casting Time: Action Range: 90 feet Components: V, S, M (a reliquary worth 500+ GP) Duration: #Concentration, up to 1 hour 
You call forth a Celestial spirit. It manifests in an angelic form in an unoccupied space that you can see within range and uses the Celestial Spirit stat block. When you cast the spell, choose Avenger or Defender. Your choice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#Cleric #Paladin</t>
  </si>
  <si>
    <t>level 4 - #conjuration Casting Time: Action Range: 90 feet Components: V, S, M (a lockbox worth 400+ GP) Duration: #Concentration, up to 1 hour 
You call forth the spirit of a Construct. It manifests in an unoccupied space that you can see within range and uses the **Construct Spirit** stat block. When you cast the spell, choose a material: Clay, Metal, or Stone. The creature resembles an animate statue (you determine the appearance) made of the chosen material,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#Wizard</t>
  </si>
  <si>
    <t>level 5 - #conjuration Casting Time: Action Range: 60 feet Components: V, S, M (an object with the image of a dragon engraved on it worth 500+ GP) Duration: #Concentration, up to 1 hour 
You call forth a Dragon spirit. It manifests in an unoccupied space that you can see within range and uses the Draconic Spirit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#Wizard</t>
  </si>
  <si>
    <t>level 4 - #conjuration Casting Time: Action Range: 90 feet Components: V, S, M (air, a pebble, ash, and water inside a gold- inlaid vial worth 400+ GP) Duration: #Concentration, up to 1 hour 
You call forth an Elemental spirit. It manifests in an unoccupied space that you can see within range and uses the **Elemental Spirit** stat block. When you cast the spell, choose an element: Air, Earth, Fire, or Water. The creature resembles a bipedal form wreathed in the chosen element, which determines certain details in its stat block. The creature disappears when it drops to O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 #Ranger #Wizard</t>
  </si>
  <si>
    <t>level 3 - #conjuration Casting Time: Action Range: 90 feet Components: V, S, M (a gilded flower worth 300+ GP) Duration: #Concentration, up to 1 hour 
You call forth a Fey spirit. It manifests in an unoccupied space that you can see within range and uses the **Fey Spirit** stat block. When you cast the spell, choose a mood: Fuming, Mirthful, or Tricksy. The creature resembles a Fey creature of your choice marked by the chosen mood,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 #Ranger #Warlock #Wizard</t>
  </si>
  <si>
    <t>level 6 - #conjuration Casting Time: Action Range: 90 feet Components: V, S, M (a bloody vial worth 600+ GP) Duration: #Concentration, up to 1 hour 
You call forth a fiendish spirit. It manifests in an unoccupied space that you can see within range and uses the **Fiendish Spirit** stat block. When you cast the spell, choose Demon, Devil, or Yugoloth. The creature resembles a Fiend of the chosen type,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Hevel for the spell's level in the stat block_x000D_
#Warlock #Wizard</t>
  </si>
  <si>
    <t>level 3 - #necromancy Casting Time: Action Range: 90 feet Components: V, S, M (a gilded skull worth 300+ GP) Duration: #Concentration, up to 1 hour 
You call forth an Undead spirit. It manifests in an unoccupied space that you can see within range and uses the Undead Spirit stat block. When you cast the spell, choose the creature's form: Ghostly, Putrid, or Skeletal. The spirit resembles an Undead creature with the chosen form,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#Warlock #Wizard</t>
  </si>
  <si>
    <t>level 6 - #evocation Casting Time: Action Range: Self Components: V, S, M (a magnifying glass) Duration: #Concentration, up to 1 minute 
You launch a sunbeam in a 5-foot-wide, 60-foot-long Line. Each creature in the Line makes a Constitution saving throw. On a failed save, a creature takes 6d8 Radiant damage and has the Blinded condition until the start of your next turn. On a successful save, it takes half as much damage only. 
Until the spell ends, you can take a Magic action to create a new Line of radiance. 
For the duration, a mote of brilliant radiance shines above you. It sheds Bright Light in a 30-foot radius and Dim Light for an additional 30 feet. This light is sunlight_x000D_
#Cleric #Druid #Sorcerer #Wizard</t>
  </si>
  <si>
    <t>level 8 - #evocation Casting Time: Action Range: 150 feet Components: V, S, M (piece of sunstone) Duration: Instantaneous 
Brilliant sunlight flashes in a 60-foot-radius Sphere centered on a point you choose within range. Each creature in the Sphere makes a Constitution saving throw. On a failed save, a creature takes 12d6 Radiant damage and has the Blinded condition for 1 minute. On a successful save, it takes half as much damage only.
A creature Blinded by this spell makes another Constitution saving throw at the end of each of its turns, ending the effect on itself on a success. 
This spell dispels Darkness in its area that was created by any spell._x000D_
#Cleric #Druid #Sorcerer #Wizard</t>
  </si>
  <si>
    <t>level 5 - #transmutation Casting Time: #BonusAction Range: Self Components: V, S, M (a Quiver worth 1+ GP) Duration: #Concentration, up to 1 minute 
Description not available (not OGL)_x000D_
#Ranger</t>
  </si>
  <si>
    <t>level 7 - #abjuration Casting Time: 1 minute Range: Touch Components: V, S, M (powdered diamond worth 1,000+ GP, which the spell consumes) Duration: Until dispelled or triggered 
You inscribe a harmful glyph either on a surface (such as a section of floor or wall) or within an object that can be closed (such as a book or chest). The glyph can cover an area no larger than 10 feet in diameter. If you choose an object, it must remain in place; if it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which effect the symbol bears: Death, Discord, Fear, Pain, Sleep, or Stunning. Each one is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You can refine the trigger so that only creatures of certain types activate it (for example, the glyph could be set to affect Aberrations). You can also set conditions for creatures that don't trigger the glyph, such as those who say a certain password.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A creature is targeted only once per turn. 
**Death**. Each target makes a Constitution saving throw, taking 10d10 Necrotic damage on a failed save or half as much damage on a successful save. 
**Discord**. Each target makes a Wisdom saving throw. On a failed save, a target argues with other creatures for 1 minute. During this time, it is incapable of meaningful communication and has Disadvantage on attack rolls and ability checks.
**Fear**. Each target must succeed on a Wisdom saving throw or have the Frightened condition for 1 minute. While Frightened, the target must move at least 30 feet away from the glyph on each of its turns, if able. 
**Pain**. Each target must succeed on a Constitution saving throw or have the Incapacitated condition for 1 minute. 
**Sleep**. Each target must succeed on a Wisdom saving throw or have the Unconscious condition for 10 minutes. A creature awakens if it takes damage or if someone takes an action to shake it awake. 
**Stunning**. Each target must succeed on a Wisdom saving throw or have the Stunned condition for 1 minute_x000D_
#Bard #Cleric #Druid #Wizard</t>
  </si>
  <si>
    <t>level 5 - #enchantment Casting Time: Action Range: 120 feet Components: V, S Duration: Instantaneous 
Description not available (not OGL)._x000D_
#Bard #Sorcerer #Warlock #Wizard</t>
  </si>
  <si>
    <t>level 6 - #conjuration Casting Time: Action Range: 5 feet Components: V, S, M (a gilded ladle worth 500+ GP) Duration: 10 minutes 
You conjure a claw-footed cauldron filled with bubbling liquid. The cauldron appears in an unoccupied space on the ground within 5 feet of you and lasts for the duration. The cauldron can't be moved, and disappears when the spell ends, along with the bubbling liquid inside of it. 
The liquid in the cauldron duplicates the properties of a Common or an Uncommon potion of your choice (such as potion of healing). As a Bonus Action, you or an ally can reach into the cauldron and withdraw one potion of that kind. The potion is contained in a vial that disappears when the potion is consumed. The cauldron can produce a number of these potions equal to your spellcasting ability modifier (minimum 1). When the last of these potions is withdrawn from the cauldron, the cauldron disappears, and the spell ends. 
Potions obtained from the cauldron that aren't consumed disappear when you cast the spell again_x000D_
#Warlock #Wizard</t>
  </si>
  <si>
    <t>level 1 - #enchantment Casting Time: Action Range: 30 feet Components: V, S, M (a tart and a feather) Duration: #Concentration, up to 1 minute 
One creature of your choice that you can see within range makes a Wisdom saving throw. On a failed save, it has the Prone and Incapacitated conditions for the duration. During that time, it laughs uncontrollably if it's capable of laughter, and it can't end the Prone condition on it self. 
At the end of each of its turns and each time it takes damage, it makes another Wisdom saving throw. The target has Advantage on the save if the save is triggered by damage. On a successful save, the spell ends. 
Using a Higher-Level Spell Slot. You can target one additional creature for each spell slot level about 1_x000D_
#Bard #Warlock #Wizard</t>
  </si>
  <si>
    <t>level 5 - #transmutation Casting Time: Action Range: 60 feet Components: V, S Duration: #Concentration, up to 10 minutes 
You gain the ability to move or manipulate creatures or objects by thought. When you cast the spell and as a Magic action on your later turns before the spell ends,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The target must succeed on a Strength saving throw, or you move it up to 30 feet in any direction within the spell's range. Until the end of your next turn, the creature has the Restrained condition, and if you lift it into the air, it is suspended there. It falls at the end of your next turn unless you use this option on it again and it fails the save. 
**Object**. You can try to move a Huge or smaller object. If the object isn't being worn or carried, you automatically move it up to 30 feet in any direction within the spell's range. 
If the object is worn or carried by a creature, that creature must succeed on a Strength saving throw, or you pull the object away and move it up to 30 feet in any direction within the spell's range. You can exert fine control on objects with your telekinetic grip, such as manipulating a simple tool, opening a door or a container, stowing or retrieving an item from an open container, or pouring the contents from a vial_x000D_
#Sorcerer #Wizard</t>
  </si>
  <si>
    <t>level 8 - #divination Casting Time: Action Range: Unlimited Components: V, S, M (a pair of linked silver rings) Duration: 24 hours 
Description not available (not OGL)_x000D_
#Wizard</t>
  </si>
  <si>
    <t>level 7 - #conjuration Casting Time: Action Range: 10 feet Components: V Duration: Instantaneous 
This spell instantly transports you and up to eight willing creatures that you can see within range, or a single object that you can see within range, to a destination you select. If you target an object, it must be Large or smaller, and it canâ€™t be held or carried by an unwilling creature. The destination you choose must be known to you, and it must be on the same plane of existence as you. Your familiarity with the destination determines whether you arrive there successfully. The DM rolls 1d100 and consults the Teleportation Outcome table and the explanations after it. 
| Familiarity              | Mishap | Similar Area | Off Target | On Target |
| ------------------------ | ------ | ------------ | ---------- | --------- |
| Permanent circle         | -      | -            | -          | 01-00     |
| Linked object            | -      | -            | -          | 01â€“00     |
| Very familiar            | 01-05  | 06-13        | 14-24      | 25-00     |
| Seen casually            | 01-33  | 34-43        | 44-53      | 54-00     |
| Viewed once or described | 01-43  | 44-53        | 54-73      | 74-00     |
| False destination        | 01-50  | 51-00        | -          | -         |
  **Familiarity**. Here are the meanings of the terms in the tableâ€™s Familiarity column: 
  â€¢ â€œPermanent circleâ€ means a permanent teleportation circle whose sigil sequence you know. 
  â€¢ â€œLinked objectâ€ means you possess an object taken from the desired destination within the last six months, such as a book from a wizardâ€™s library. 
  â€¢ â€œVery familiarâ€ is a place you have visited often, a place you have carefully studied, or a place you can see when you cast the spell. 
  â€¢ â€œSeen casuallyâ€ is a place you have seen more than once but with which you arenâ€™t very familiar. 
  â€¢ â€œViewed once or describedâ€ is a place you have seen once, possibly using magic, or a place you know through someone elseâ€™s description, perhaps from a map. 
  â€¢ â€œFalse destinationâ€ is a place that doesnâ€™t exist. Perhaps you tried to scry an enemyâ€™s sanctum but instead viewed an illusion, or you are attempting to teleport to a location that no longer exists.
  **Mishap**. The spellâ€™s unpredictable magic results in a difficult journey. Each teleporting creature (or the target object) takes 3d10 Force damage, and the DM rerolls on the table to see where you wind up (multiple mishaps can occur, dealing damage each time). 
  **Similar Area**. You and your group (or the target object) appear in a different area thatâ€™s visually or thematically similar to the target area. You appear in the closest similar place. If you are heading for your home laboratory, for example, you might appear in another personâ€™s laboratory in the same city. 
  **Off Target**. You and your group (or the target object) appear 2d12 miles away from the destination in a random direction. Roll 1d8 for the direction: 1, east; 2, southeast; 3, south; 4, southwest; 5, west; 6, northwest; 7, north; or 8, northeast. 
  **On Target**. You and your group (or the target object) appear where you intended._x000D_
#Bard #Sorcerer #Wizard</t>
  </si>
  <si>
    <t>level 5 - #conjuration Casting Time: 1 minute Range: 10 feet Components: V, M (rare inks worth 50+ GP, which the spell consumes) Duration: 1 round 
As you cast the spell, you draw a 5-foot-radius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guildhalls, and other important places have permanent teleportation circles. Each circle includes a unique sigil sequenceâ€”a string of runes arranged in a particular pattern. When you first gain the ability to cast this spell, you learn the sigil sequences for two destinations on the Material Plane, determined by the DM. You might learn additional sigil sequences during your adventures. You can commit a new sigil sequence to memory after studying it for 1 minute. 
You can create a permanent teleportation circle by casting this spell in the same location every day for 365 days_x000D_
#Bard #Sorcerer #Warlock #Wizard</t>
  </si>
  <si>
    <t>level 1 - #conjuration ( #ritual ) Casting Time: Action or Ritual Range: 30 feet Components: V, S, M (a drop of mercury) Duration: 1 hour 
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move across uneven terrain, up or down stairs, slopes and the like, but it can't cross an elevation change of 10 feet or more. For example, the disk can't move across a 1O-foot-deep pit, nor could it leave such a pit if it was created at the bottom. 
If you move more than 100 feet from the disk (typically because it can't move around an obstacle to follow you), the spell ends_x000D_
#Wizard</t>
  </si>
  <si>
    <t>level 0 - #transmutation Casting Time: Action Range: 30 feet Components: V Duration: Up to 1 minute 
You manifest a minor wonder within range. You create one of the effects below within range. If you cast this spell multiple times, you can have up to three of its 1-minute effects active at a time. 
**Altered Eyes**. You alter the appearance of your eyes for 1 minute. 
**Booming Voice**. Your voice booms up to three times as loud as normal for 1 minute. For the duration, you have Advantage on Charisma (Intimidation) checks. 
**Fire Play**. You cause flames to flicker, brighten, dim, or change color for 1 minute. 
**Invisible Hand**. You instantaneously cause an unlocked door or window to fly open or slam shut. 
**Phantom Sound**. You create an instantaneous sound that originates from a point of your choice within range, such as a rumble of thunder, the cry of a raven, or ominous whispers. 
**Tremors**. You cause harmless tremors in the ground for 1 minute_x000D_
#Cleric</t>
  </si>
  <si>
    <t>level 0 - #transmutation Casting Time: Action Range: 30 feet Components: V, S, M (the stem of a thorny plant) Duration: Instantaneous 
You create a vine-like whip covered in thorns that lashes out at your command toward a creature in range. Make a melee spell attack against the target. On a hit, the target takes 1d6 Piercing damage, and if it is Large or smaller, you can pull it up to 10 feet closer to you. 
Cantrip Upgrade. The damage increases by 1d6 when you reach levels 5 (2d6), 11 (3d6), and 17 (4d6)_x000D_
#Druid</t>
  </si>
  <si>
    <t>level 0 - #evocation Casting Time: Action Range: Self Components: S Duration: Instantaneous 
Each creature in a 5-foot Emanation originating from you must succeed on a Constitution saving throw or take 1d6 Thunder damage. The spell's thunderous sound can be heard up to 100 feet away. 
Cantrip Upgrade. The damage increases by 1d6 when you reach levels 5 (2d6), 11 (3d6), and 17 (4d6)_x000D_
#Bard #Druid #Sorcerer #Warlock #Wizard</t>
  </si>
  <si>
    <t>level 1 - #evocation Casting Time: #BonusAction, which you take immediately after hitting a target with a Melee weapon or an Unarmed Strike Range: Self Components: V Duration: Instantaneous 
Your strike rings with thunder that is audible within 300 feet of you, and the target takes an extra 2d6 Thunder damage from the attack. Additionally, if the target is a creature, it must succeed on a Strength saving throw or be pushed 10 feet away from you and have the Prone condition. 
Using a Higher-Level Spell Slot. The damage increases by 1d6 for each spell slot level above 1_x000D_
#Paladin</t>
  </si>
  <si>
    <t>level 1 - #evocation Casting Time: Action Range: Self Components: V, S Duration: Instantaneous 
You unleash a wave of thunderous energy. Each creature in a 15- foot Cube originating from you makes a Constitution saving throw. On a failed save, a creature takes 2d8 Thunder damage and is pushed 10 feet away from you. On a successful save, a creature takes half as much damage only. 
In addition, unsecured objects that are entirely within the Cube are pushed 10 feet away from you, and a thunderous boom is audible within 300 feet. 
Using a Higher-Level Spell Slot. The damage increases by 1d8 for each spell slot level above 1_x000D_
#Bard #Druid #Sorcerer #Wizard</t>
  </si>
  <si>
    <t>level 9 - #transmutation Casting Time: Action Range: Self Components: V Duration: Instantaneous 
You briefly stop the flow of time for everyone but yourself. No time passes for other creatures, while you take 1d4 + 1 turns in a row, during which you can use actions and move as normal. 
This spell ends if one of the actions you use during this period, or any effects that you create during it, affects a creature other than you or an object being worn or carried by someone other than you. In addition, the spell ends if you move to a place more than 1,000 feet from the location where you cast it._x000D_
#Sorcerer #Wizard</t>
  </si>
  <si>
    <t>Level 0 - #necromancy Casting Time: Action Range: 60 feet Components: V, S Duration: Instantaneous 
You point at one creature you can see within range, and the single chime of a dolorous bell is audible within 10 feet of the target. The target must succeed on a Wisdom saving throw or take 1d8 Necrotic damage. If the target is missing any of its Hit Points it instead takes 1d12 Necrotic damage. 
Cantrip Upgrade. The damage increases by one die when you reach levels 5 (2d8 or 2d12), 11 (3d8 or 3d12), and 17 (4d8 or 4d12)_x000D_
#Cleric #Warlock #Wizard</t>
  </si>
  <si>
    <t>level 3 - #divination Casting Time: Action Range: Touch Components: V, M (a miniature ziggurat) Duration: 1 hour 
This spell grants the creature you touch the ability to understand any spoken or signed language that it hears or sees. Moreover, when the target communicates by speaking or signing, any creature that knows at least one language can understand it if that creature can hear the speech or see the signing._x000D_
#Bard #Cleric #Sorcerer #Warlock #Wizard</t>
  </si>
  <si>
    <t>level 6 - #conjuration Casting Time: Action Range: 10 feet Components: V, S Duration: 1 minute 
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movement_x000D_
#Druid</t>
  </si>
  <si>
    <t>level 5 - #conjuration Casting Time: Action Range: Self Components: V, S Duration: #Concentration, up to 1 minute 
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only once on each of your turns. You must end each turn outside a tree_x000D_
#Druid #Ranger</t>
  </si>
  <si>
    <t>level 9 - #transmutation Casting Time: Action Range: 30 feet Components: V, S, M (a drop of mercury, a dollop of gum arabic, and a wisp of smoke) Duration: #Concentration, up to 1 hour 
Choose one creature or nonmagical object that you can see within range. The creature shape-shifts into a different creature or a nonmagical object, or the object shape-shifts into a creature (the object must be neither worn nor carried). The transformation lasts for the duration or until the target dies or is destroyed, but if you maintain #Concentration on this spell for the full duration, the spell lasts until dispelled. 
An unwilling creature can make a Wisdom saving throw, and if it succeeds, it isn't affected by this spell. 
**Creature into Creature**. If you turn a creature into another kind of creature, the new form can be any kind you choose that has a Challenge Rating equal to or less than the target's Challenge Rating or level. The target's game statistics are replaced by the stat block of the new form, but it retains its Hit Points, Hit Point Dice, alignment, and personality. 
The target gains a number of Temporary Hit Points equal to the Hit Points of the new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 
**Object into Creature**. You can turn an object into any kind of creature, as long as the creature's size is no larger than the object's size and the creature has a Challenge Rating of 9 or lower. The creature is Friendly to you and your allies. In combat, it takes its turns immediately after yours, and it obeys your commands. If the spell lasts more than an hour, you no longer control the creature. It might remain Friendly to you, depending on how you have treated it. 
**Creature into Object**. If you turn a creature into an object, it transforms along with whatever it is wearing and carrying into that form, as long as the object's size is no larger than the creature's size. The creature's statistics become those of the object, and the creature has no memory of time spent in this form after the spell ends and it returns to normal._x000D_
#Bard #Warlock #Wizard</t>
  </si>
  <si>
    <t>level 9 - #necromancy Casting Time: 1 hour Range: Touch Components: V, S, M (diamonds worth 25,000+ GP, which the spell consumes) Duration: Instantaneous 
You touch a creature that has been dead for no longer than 200 years and that died for any reason except old age. The creature is revived with all its Hit Points. 
This spell closes all wounds, neutralizes any poison, cures all magical contagions, and lifts any curses affecting the creature when it died. The spell replaces damaged or missing organs and limbs. If the creature was Undead, it is restored to its non-Undead form. 
The spell can provide a new body if the original no longer exists, in which case you must speak the creature's name. The creature then appears in an unoccupied space you choose within 10 feet of you_x000D_
#Cleric #Druid</t>
  </si>
  <si>
    <t>level 6 - #divination Casting Time: Action Range: Touch Components: V, S, M (mushroom powder worth 25+ GP, which the spell consumees) Duration: 1 hour 
For the duration, the willing creature you touch has Truesight with a range of 120 feet._x000D_
#Bard #Cleric #Sorcerer #Warlock #Wizard</t>
  </si>
  <si>
    <t>level 0 - #divination Casting Time: Action Range: Self Components: S, M (a weapon with which you have proficiency and that is worth 1+ CP) Duration: Instantaneous 
Guided by a flash of magical insight, you make one attack with the weapon used in the spell's casting. The attack uses your spellcasting ability for the attack and damage rolls instead of using Strength or Dexterity. If the attack deals damage, it can be Radiant damage or the weapon's normal damage type (your choice). 
**Cantrip Upgrade**. Whether you deal Radiant damage or the weapon's normal damage type, the attack deals extra Radiant damage when you reach levels 5 (1d6), 11 (2d6), and 17 (3d6)_x000D_
#Bard #Sorcerer #Warlock #Wizard</t>
  </si>
  <si>
    <t>level 8 - #conjuration Casting Time: 1 minute Range: 1 mile Components: V, S Duration: #Concentration, up to 6 rounds 
A wall of water springs into existence at a point you choose within range. You can make the wall up to 300 feet long, 300 feet high, and 50 feet thick. The wall lasts for the duration. When the wall appears, each creature in its area makes a Strength saving throw, taking 6d10 Bludgeoning damage on a failed save or half as much damage on a successful one.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the wall deals on later rounds is reduced by 1d10. When the wall reaches O feet in height, the spell ends. 
A creature caught in the wall can move by swimming. Because of the wave's force, though, the creature must succeed on a Strength (Athletics) check against your spell save DC to move at all. If it fails the check, it can't move. A creature that moves out of the wall falls to the ground._x000D_
#Druid</t>
  </si>
  <si>
    <t>level 1 - #conjuration ( #ritual ) Casting Time: Action or Ritual Range: 60 feet Components: V, S, M (a bit of string and of wood) Duration: 1 hour 
This spell creates an Invisible, mindless, shapeless, Medium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could do, such as fetching things, cleaning, mending, folding clothes, lighting fires, serving food, and pouring drinks. Once you give the command, the servant performs the task to the best of its ability until it completes the task, then waits for your next command. 
If you command the servant to perform a task that would move it more than 60 feet away from you, the spell ends_x000D_
#Bard #Warlock #Wizard</t>
  </si>
  <si>
    <t>level 3 - #necromancy Casting Time: Action Range: Self Components: V, S Duration: #Concentration, up to 1 minute 
The touch of your shadow-wreathed hand can siphon life force from others to heal your wounds. Make a melee spell attack against one creature within reach. On a hit, the target takes 3d6 Necrotic damage, and you regain Hit Points equal to half the amount of Necrotic damage dealt. 
Until the spell ends, you can make the attack again on each of your turns as a Magic action, targeting the same creature or a different one. 
Using a Higher-Level Spell Slot. The damage increases by 1d6 for each spell slot level above 3._x000D_
#Sorcerer #Warlock #Wizard</t>
  </si>
  <si>
    <t>level 0 - #enchantment Casting Time: Action Range: 60 feet Components: V Duration: Instantaneous 
You unleash a string of insults laced with subtle enchantments at one creature you can see or hear within range. The target must succeed on a Wisdom saving throw or take 1d6 Psychic damage and have Disadvantage on the next attack roll it makes before the end of its next turn. 
Cantrip Upgrade. The damage increases by 1d6 when you reach level 5 (2d6), level 11 (3d6), and level 17 (4d6)._x000D_
#Bard</t>
  </si>
  <si>
    <t>level 4 - #evocation Casting Time: Action Range: 150 feet Components: V, S, M (a drop of bile) Duration: Instantaneous 
You point at a location within range, and a glowing, 1-foot- diameter ball of acid streaks there and explodes in a 20-foot-radius Sphere. Each creature in that area makes a Dexterity saving throw. On a failed save, a creature takes 10d4 Acid damage and another Sd4 Acid damage at the end of its next turn. On a successful save, a creature takes half the initial damage only. 
Using a Higher-Level Spell Slot. The initial damage increases by 2d4 for each spell slot level above 4_x000D_
#Sorcerer #Wizard</t>
  </si>
  <si>
    <t>level 4 - #evocation Casting Time: Action Range: 120 feet Components: V, S, M (a piece of charcoal) Duration: #Concentration, up to 1 minute 
You create a wall of fire on a solid surface within range. You can make the wall up to 60 feet long, 20 feet high, and 1 foot thick, or a ringed wall up to 20 feet in diameter, 20 feet high, and 1 foot thick. The wall is opaque and lasts for the duration. 
When the wall appears, each creature in its area makes a Dexterity saving throw, taking 5d8 Fire damage on a failed save or half as much damage on a successful one.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 
Using a Higher-Level Spell Slot. The damage increases by 1d8 for each spell slot level above 4._x000D_
#Druid #Sorcerer #Wizard</t>
  </si>
  <si>
    <t>level 5 - #evocation Casting Time: Action Range: 120 feet Components: V, S, M (a sharp of glass) Duration: #Concentration, up to 10 minutes 
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globe with a radius of up to 10 feet, or you can shape a flat surface made up of ten 10-foot-by-10-foot panels. Each panel must be contiguous with another panel. In any form, the wall is 1/4 inch thick and lasts for the duration. If the wall cuts through a creature's space when it appears, the creature is pushed to one side of the wall (you choose which side). 
Nothing can physically pass through the wall. It is immune to all damage and can't be dispelled by Dispel Magic. A Disintegrate spell destroys the wall instantly, however. The wall also extends into the Ethereal Plane and blocks ethereal travel through the wall._x000D_
#Wizard</t>
  </si>
  <si>
    <t>level 6 - #evocation Casting Time: Action Range: 120 feet Components: V, S, M (a piece of quartz) Duration: #Concentration, up to 10 minutes 
You create a wall of ice on a solid surface within range. You can form it into a hemispherical dome or a globe with a radius of up to 10 feet, or you can shape a flat surface made up of ten 10-foot- square panels. Each panel must be contiguous with another panel. In any form, the wall is 1 foot thick and lasts for the duration. 
If the wall cuts through a creature's space when it appears, the creature is pushed to one side of the wall (you choose which side) and makes a Dexterity saving throw, taking 10d6 Cold damage on a failed save or half as much damage on a successful one. 
The wall is an object that can be damaged and thus breached. It has AC 12 and 30 Hit Points per 10-foot section, and it has Immunity to Cold, Poison, and Psychic damage and Vulnerability to Fire damage. Reducing a 10-foot section of wall to 0 Hit Points destroys it and leaves behind a sheet of frigid air in the space the wall occupied. 
A creature moving through the sheet of frigid air for the first time on a turn makes a Constitution saving throw, taking 5d6 Cold damage on a failed save or half as much damage on a successful one. 
Using a Higher-Level Spell Slot. The damage the wall deals when it appears increases by 2d6 and the damage from passing through the sheet of frigid air increases by 1d6 for each spell slot level above 6_x000D_
#Wizard</t>
  </si>
  <si>
    <t>level 5 - #evocation Casting Time: Action Range: 120 feet Components: V, S, M (a cube of granite) Duration: #Concentration, up to 10 minutes 
A nonmagical wall of solid stone springs into existence at a point you choose within range. The wall is 6 inches thick and is composed of ten 10-foot-by-10-foot panels. Each panel must be contiguous with another panel. Alternatively, you can create 10- foot-by-20-foot panels that are only 3 inches thick. 
If the wall cuts through a creature's space when it appears, the creature is pushed to one side of the wall (you choose which side).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 on a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battlements and the like. 
The wall is an object made of stone that can be damaged and thus breached. Each panel has AC 15 and 30 Hit Points per inch of thickness, and it has Immunity to Poison and Psychic damage. Reducing a panel to 0 Hit Points destroys it and might cause connected panels to collapse at the DM's discretion. 
If you maintain your #Concentration on this spell for its full duration, the wall becomes permanent and can't be dispelled. Otherwise, the wall disappears when the spell ends._x000D_
#Druid #Sorcerer #Wizard</t>
  </si>
  <si>
    <t>level 6 - #conjuration Casting Time: Action Range: 120 feet Components: V, S, M (a handful of thorns) Duration: #Concentration, up to 10 minutes 
You create a wall of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in its area makes a Dexterity saving throw, taking 7d8 Piercing damage on a failed save or half as much damage on a successful one. 
A creature can move through the wall, albeit slowly and painfully. For every 1 foot a creature moves through the wall, it must spend 4 feet of movement. Furthermore, the first time a creature enters a space in the wall on a turn or ends its turn there, the creature makes a Dexterity saving throw, taking 7d8 Slashing damage on a failed save or half as much damage on a successful one. A creature makes this save only once per turn. 
Using a Higher-Level Spell Slot. Both types of damage increase by 1d8 for each spell slot level above 6_x000D_
#Druid</t>
  </si>
  <si>
    <t>level 2 - #abjuration Casting Time: Action Range: Touch Components: V, S, M (a pair of platinum rings worth 50+ GP each, which you and the target must wear for the duration) Duration: 1 hour 
You touch another creature that is willing and create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creatures_x000D_
#Cleric #Paladin</t>
  </si>
  <si>
    <t>level 3 - #transmutation ( #ritual ) Casting Time: Action or Ritual Range: 30 feet Components: V, S, M (a short reed) Duration: 24 hours 
This spell grants up to ten willing creatures of your choice within range the ability to breathe underwater until the spell ends. Affected creatures also retain their normal mode of respiration_x000D_
#Druid #Ranger #Sorcerer #Wizard</t>
  </si>
  <si>
    <t>level 3 - #transmutation ( #ritual ) Casting Time: Action or Ritual Range: 30 feet Components: V, S, M (a piece of cork) Duration: 1 hour 
This spell grants the ability to move across any liquid surfaceâ€”such as water, acid, mud, snow, quicksand, or lavaâ€”as if it were harmless solid ground (creatures crossing molten lava can still take damage from the heat). Up to ten willing creatures of your choice within range gain this ability for the duration. 
An affected target must take a Bonus Action to pass from the liquid's surface into the liquid itself and vice versa, but if the target falls into the liquid, the target passes through the surface into the liquid below_x000D_
#Cleric #Druid #Ranger #Sorcerer</t>
  </si>
  <si>
    <t>level 2 - #conjuration Casting Time: Action Range: 60 feet Components: V, S, M (a bit of spiderweb) Duration: #Concentration, up to 1 hour 
You conjure a mass of sticky webbing at a point within range. The webs fill a 20-foot Cube there for the duration. The webs are Difficult Terrain, and the area within them is Lightly Obscured. If the webs aren't anchored between two solid masses (such as walls or trees) or layered across a floor, wall, or ceiling, the web collapses on itself, and the spell ends at the start of your next turn. Webs layered over a flat surface have a depth of 5 feet. 
The first time a creature enters the webs on a turn or starts its turn there, it must succeed on a Dexterity saving throw or have the Restrained condition while in the webs or until it breaks free. A creature Restrained by the webs can take an action to make a Strength (Athletics) check against your spell save DC. If it succeeds, it is no longer Restrained. 
The webs are flammable. Any 5-foot Cube of webs exposed to fire burns away in 1 round, dealing 2d4 Fire damage to any creature that starts its turn in the fire._x000D_
#Sorcerer #Wizard</t>
  </si>
  <si>
    <t>level 9 - #illusion Casting Time: Action Range: 120 feet Components: V, S Duration: #Concentration, up to 1 minute 
You try to create illusory terrors in others' minds. Each creature of your choice in a 30-foot-radius Sphere centered on a point within range makes a Wisdom saving throw. On a failed save, a target takes 10d10 Psychic damage and has the Frightened condition for the duration. On a successful save, a target takes half as much damage only. 
A Frightened target makes a Wisdom saving throw at the end of each of its turns. On a failed save, it takes 5d10 Psychic damage. On a successful save, the spell ends on that target_x000D_
#Warlock #Wizard</t>
  </si>
  <si>
    <t>level 6 - #transmutation Casting Time: 1 minute Range: 30 feet Components: V, S, M (a candle) Duration: 8 hours 
You and up to ten willing creatures of your choice within range assume gaseous forms for the duration, appearing as wisps of cloud. While in this cloud form, a target has a Fly Speed of 300 feet and can hover; it has Immunity to the Prone condition; and it has Resistance to Bludgeoning, Piercing, and Slashing damage. The only actions a target can take in this form are the Dash action or a Magic action to begin reverting to its normal form. Reverting takes 1 minute, during which the target has the Stunned condition. Until the spell ends, the target can revert to cloud form, which also requires a Magic action followed by a 1-minute transformation. 
If a target is in cloud form and flying when the effect ends, the target descends 60 feet per round for 1 minute until it lands, which it does safely. If it can't land after 1 minute, it falls the remaining distance_x000D_
#Druid</t>
  </si>
  <si>
    <t>level 3 - #evocation Casting Time: Action Range: 120 feet Components: V, S, M (a fan and a feather) Duration: #Concentration, up to 1 minute 
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in its area makes a Strength saving throw, taking 4d8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miss automatically. Boulders hurled by Giants or siege engines, and similar projectiles, are unaffected. Creatures in gaseous form can't pass through it_x000D_
#Druid #Ranger</t>
  </si>
  <si>
    <t>level 9 - #conjuration Casting Time: Action Range: Self Components: V Duration: Instantaneous 
Wish is the mightiest spell a mortal can cast. By simply speaking aloud, you can alter reality itself. The basic use of this spell is to duplicate any other spell of level 8 or lower. If you use it this way, you don't need to meet any requirements to cast that spell, including costly components. The spell simply takes effect. Alternatively, you can create one of the following effects of your choice: 
**Object Creation**. You create one object of up to 25,000 GP in value that isn't a magic item. The object can be no more than 300 feet in any dimension, and it appears in an unoccupied space that you can see on the ground. 
**Instant Health**. You allow yourself and up to twenty creatures that you can see to regain all Hit Points, and you end all effects on them listed in the Greater Restoration spell. 
**Resistance**. You grant up to ten creatures that you can see Resistance to one damage type that you choose. This Resistance is permanent. 
**Spell Immunity**. You grant up to ten creatures you can see immunity to a single spell or other magical effect for 8 hours. 
**Sudden Learning**. You replace one of your feats with another feat for which you are eligible. You lose all the benefits of the old feat and gain the benefits of the new one. You can't replace a feat that is a prerequisite for any of your other feats or features. 
**Roll Redo**. You undo a single recent event by forcing a reroll of any die roll made within the last round (including your last turn). Reality reshapes itself to accommodate the new result. For example, a Wish spell could undo an ally's failed saving throw or a foe's Critical Hit. You can force the reroll to be made with Advantage or Disadvantage, and you choose whether to use the reroll or the original roll. 
**Reshape Reality**. You may wish for something not included in any of the other effects. To do so, state your wish to the DM as precisely as possible. The DM has great latitude in ruling what occurs in such an instance; the greater the wish, the greater the likelihood that something goes wrong. This spell might simply fail, the effect you desire might be achieved only in part, or you might suffer an unforeseen consequence as a result of how you worded the wish. For example, wishing that a villain were dead might propel you forward in time to a period when that villain is no longer alive, effectively removing you from the game. Similarly, wishing for a Legendary magic item or an Artifact might instantly transport you to the presence of the item's current owner. If your wish is granted and its effects have consequences for a whole community, region, or world, you are likely to attract powerful foes. If your wish would affect a god, the god's divine servants might instantly intervene to prevent it or to encourage you to craft the wish in a particular way. If your wish would undo the multiverse itself, threaten the City of Sigil, or affect the Lady of Pain in any way, you see an image of her in your mind for a moment; she shakes her head, and your wish fails. The stress of casting Wish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score becomes 3 for 2d4 days. For each of those days that you spend resting and doing nothing more than light activity, your remaining recovery time decreases by 2 days. Finally, there is a 33 percent chance that you are unable to cast Wish ever again if you suffer this stress_x000D_
#Sorcerer #Wizard</t>
  </si>
  <si>
    <t>level 1 - #evocation Casting Time: Action Range: 60 feet Components: V, S, M (a twig struck by lightning) Duration: #Concentration, up to 1 minute 
A beam of crackling energy lances toward a creature within range, forming a sustained arc of lightning between you and the target. Make a ranged spell attack against it. On a hit, the target takes 2d12 Lightning damage. 
On each of your subsequent turns, you can take a Bonus Action to deal 1d12 Lightning damage to the target automatically, even if the first attack missed. The spell ends if the target is ever outside the spell's range or if it has Total Cover from you. 
Using a Higher-Level Spell Slot. The initial damage increases by 1d12 for each spell slot level above 1_x000D_
#Sorcerer #Warlock #Wizard</t>
  </si>
  <si>
    <t>level 0 - #evocation Casting Time: Action Range: Self Components: V, M (a sunburst token) Duration: Instantaneous 
Burning radiance erupts from you in a 5-foot Emanation. Each creature of your choice that you can see in it must succeed on a Constitution saving throw or take 1d6 Radiant damage. 
Cantrip Upgrade. The damage increases by 1d6 when you reach levels 5 (2d6), 11 (3d6), and 17 (4d6)._x000D_
#Cleric</t>
  </si>
  <si>
    <t>level 6 - #conjuration Casting Time: Action Range: 5 feet Components: V Duration: Instantaneous 
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location, such as a temple, as a sanctuary by casting this spell there_x000D_
#Cleric</t>
  </si>
  <si>
    <t>level 1 - #necromancy Casting Time: #BonusAction, which you take immediately after hitting a creature with a Melee weapon or an Unarmed Strike Range: Self Components: V Duration: 1 minute 
The target takes an extra 1d6 Necrotic damage from the attack, and it must succeed on a Wisdom saving throw or have the Frightened condition until the spell ends. At the end of each of its turns, the Frightened target repeats the save, ending the spell on itself on a success. 
Using a Higher-Level Spell Slot. The damage increases by 1d6 for each spell slot level above 1_x000D_
#Paladin</t>
  </si>
  <si>
    <t>level 5 - #enchantment Casting Time: Action Range: Self Components: V, S, M (a miniature tiara) Duration: #Concentration, up to 1 minute 
Description not available (not OGL)_x000D_
#Bard #Wizard</t>
  </si>
  <si>
    <t>level 2 - #enchantment Casting Time: Action Range: 60 feet Components: V, S Duration: 10 minutes 
You create a magical zone that guards against deception in a 15- foot-radius Sphere centered on a point within range. Until the spell ends, a creature that enters the spell's area for the first time on a turn or starts its turn there makes a Charisma saving throw. On a failed save, a creature can't speak a deliberate lie while in the radius. You know whether a creature succeeds or fails on this save. An affected creature is aware of the spell and can avoid answering questions to which it would normally respond with a lie. Such a creature can be evasive yet must be truthful_x000D_
#Bard #Cleric #Paladin</t>
  </si>
  <si>
    <t>Antipathy Sympathy</t>
  </si>
  <si>
    <t>Blindness Deafness</t>
  </si>
  <si>
    <t>Enlarge Reduce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</si>
</sst>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vertical="top" wrapText="1"/>
    </xf>
    <xf numFmtId="0" fontId="0" fillId="0" borderId="0" xfId="0" applyAlignment="1">
      <alignment vertical="top"/>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2B02-B250-4F9F-9B0C-C3882CD22CF9}">
  <sheetPr codeName="Sheet10"/>
  <dimension ref="A1:B391"/>
  <sheetViews>
    <sheetView tabSelected="1" workbookViewId="0">
      <selection activeCell="B1" sqref="B1:B1048576"/>
    </sheetView>
  </sheetViews>
  <sheetFormatPr defaultRowHeight="15" x14ac:dyDescent="0.25"/>
  <sheetData>
    <row r="1" spans="1:2" x14ac:dyDescent="0.25">
      <c r="A1" t="s">
        <v>1059</v>
      </c>
      <c r="B1" t="s">
        <v>1234</v>
      </c>
    </row>
    <row r="2" spans="1:2" x14ac:dyDescent="0.25">
      <c r="A2" t="s">
        <v>707</v>
      </c>
      <c r="B2" t="s">
        <v>1235</v>
      </c>
    </row>
    <row r="3" spans="1:2" x14ac:dyDescent="0.25">
      <c r="A3" t="s">
        <v>1049</v>
      </c>
      <c r="B3" t="s">
        <v>1236</v>
      </c>
    </row>
    <row r="4" spans="1:2" x14ac:dyDescent="0.25">
      <c r="A4" t="s">
        <v>1060</v>
      </c>
      <c r="B4" t="s">
        <v>1237</v>
      </c>
    </row>
    <row r="5" spans="1:2" x14ac:dyDescent="0.25">
      <c r="A5" t="s">
        <v>708</v>
      </c>
      <c r="B5" t="s">
        <v>1238</v>
      </c>
    </row>
    <row r="6" spans="1:2" x14ac:dyDescent="0.25">
      <c r="A6" t="s">
        <v>714</v>
      </c>
      <c r="B6" t="s">
        <v>1239</v>
      </c>
    </row>
    <row r="7" spans="1:2" x14ac:dyDescent="0.25">
      <c r="A7" t="s">
        <v>975</v>
      </c>
      <c r="B7" t="s">
        <v>1240</v>
      </c>
    </row>
    <row r="8" spans="1:2" x14ac:dyDescent="0.25">
      <c r="A8" t="s">
        <v>897</v>
      </c>
      <c r="B8" t="s">
        <v>1241</v>
      </c>
    </row>
    <row r="9" spans="1:2" x14ac:dyDescent="0.25">
      <c r="A9" t="s">
        <v>717</v>
      </c>
      <c r="B9" t="s">
        <v>1242</v>
      </c>
    </row>
    <row r="10" spans="1:2" x14ac:dyDescent="0.25">
      <c r="A10" t="s">
        <v>976</v>
      </c>
      <c r="B10" t="s">
        <v>1243</v>
      </c>
    </row>
    <row r="11" spans="1:2" x14ac:dyDescent="0.25">
      <c r="A11" t="s">
        <v>898</v>
      </c>
      <c r="B11" t="s">
        <v>1244</v>
      </c>
    </row>
    <row r="12" spans="1:2" x14ac:dyDescent="0.25">
      <c r="A12" t="s">
        <v>1622</v>
      </c>
      <c r="B12" t="s">
        <v>1245</v>
      </c>
    </row>
    <row r="13" spans="1:2" x14ac:dyDescent="0.25">
      <c r="A13" t="s">
        <v>1127</v>
      </c>
      <c r="B13" t="s">
        <v>1246</v>
      </c>
    </row>
    <row r="14" spans="1:2" x14ac:dyDescent="0.25">
      <c r="A14" t="s">
        <v>1061</v>
      </c>
      <c r="B14" t="s">
        <v>1247</v>
      </c>
    </row>
    <row r="15" spans="1:2" x14ac:dyDescent="0.25">
      <c r="A15" t="s">
        <v>1128</v>
      </c>
      <c r="B15" t="s">
        <v>1248</v>
      </c>
    </row>
    <row r="16" spans="1:2" x14ac:dyDescent="0.25">
      <c r="A16" t="s">
        <v>1062</v>
      </c>
      <c r="B16" t="s">
        <v>1249</v>
      </c>
    </row>
    <row r="17" spans="1:2" x14ac:dyDescent="0.25">
      <c r="A17" t="s">
        <v>1112</v>
      </c>
      <c r="B17" t="s">
        <v>1250</v>
      </c>
    </row>
    <row r="18" spans="1:2" x14ac:dyDescent="0.25">
      <c r="A18" t="s">
        <v>1113</v>
      </c>
      <c r="B18" t="s">
        <v>1251</v>
      </c>
    </row>
    <row r="19" spans="1:2" x14ac:dyDescent="0.25">
      <c r="A19" t="s">
        <v>899</v>
      </c>
      <c r="B19" t="s">
        <v>1252</v>
      </c>
    </row>
    <row r="20" spans="1:2" x14ac:dyDescent="0.25">
      <c r="A20" t="s">
        <v>900</v>
      </c>
      <c r="B20" t="s">
        <v>1253</v>
      </c>
    </row>
    <row r="21" spans="1:2" x14ac:dyDescent="0.25">
      <c r="A21" t="s">
        <v>901</v>
      </c>
      <c r="B21" t="s">
        <v>1254</v>
      </c>
    </row>
    <row r="22" spans="1:2" x14ac:dyDescent="0.25">
      <c r="A22" t="s">
        <v>902</v>
      </c>
      <c r="B22" t="s">
        <v>1255</v>
      </c>
    </row>
    <row r="23" spans="1:2" x14ac:dyDescent="0.25">
      <c r="A23" t="s">
        <v>903</v>
      </c>
      <c r="B23" t="s">
        <v>1256</v>
      </c>
    </row>
    <row r="24" spans="1:2" x14ac:dyDescent="0.25">
      <c r="A24" t="s">
        <v>727</v>
      </c>
      <c r="B24" t="s">
        <v>1257</v>
      </c>
    </row>
    <row r="25" spans="1:2" x14ac:dyDescent="0.25">
      <c r="A25" t="s">
        <v>731</v>
      </c>
      <c r="B25" t="s">
        <v>1258</v>
      </c>
    </row>
    <row r="26" spans="1:2" x14ac:dyDescent="0.25">
      <c r="A26" t="s">
        <v>1035</v>
      </c>
      <c r="B26" t="s">
        <v>1259</v>
      </c>
    </row>
    <row r="27" spans="1:2" x14ac:dyDescent="0.25">
      <c r="A27" t="s">
        <v>904</v>
      </c>
      <c r="B27" t="s">
        <v>1260</v>
      </c>
    </row>
    <row r="28" spans="1:2" x14ac:dyDescent="0.25">
      <c r="A28" t="s">
        <v>977</v>
      </c>
      <c r="B28" t="s">
        <v>1261</v>
      </c>
    </row>
    <row r="29" spans="1:2" x14ac:dyDescent="0.25">
      <c r="A29" t="s">
        <v>905</v>
      </c>
      <c r="B29" t="s">
        <v>1262</v>
      </c>
    </row>
    <row r="30" spans="1:2" x14ac:dyDescent="0.25">
      <c r="A30" t="s">
        <v>978</v>
      </c>
      <c r="B30" t="s">
        <v>1263</v>
      </c>
    </row>
    <row r="31" spans="1:2" x14ac:dyDescent="0.25">
      <c r="A31" t="s">
        <v>732</v>
      </c>
      <c r="B31" t="s">
        <v>1264</v>
      </c>
    </row>
    <row r="32" spans="1:2" x14ac:dyDescent="0.25">
      <c r="A32" t="s">
        <v>734</v>
      </c>
      <c r="B32" t="s">
        <v>1265</v>
      </c>
    </row>
    <row r="33" spans="1:2" x14ac:dyDescent="0.25">
      <c r="A33" t="s">
        <v>1063</v>
      </c>
      <c r="B33" t="s">
        <v>1266</v>
      </c>
    </row>
    <row r="34" spans="1:2" x14ac:dyDescent="0.25">
      <c r="A34" t="s">
        <v>906</v>
      </c>
      <c r="B34" t="s">
        <v>1267</v>
      </c>
    </row>
    <row r="35" spans="1:2" x14ac:dyDescent="0.25">
      <c r="A35" t="s">
        <v>736</v>
      </c>
      <c r="B35" t="s">
        <v>1268</v>
      </c>
    </row>
    <row r="36" spans="1:2" x14ac:dyDescent="0.25">
      <c r="A36" t="s">
        <v>907</v>
      </c>
      <c r="B36" t="s">
        <v>1269</v>
      </c>
    </row>
    <row r="37" spans="1:2" x14ac:dyDescent="0.25">
      <c r="A37" t="s">
        <v>979</v>
      </c>
      <c r="B37" t="s">
        <v>1270</v>
      </c>
    </row>
    <row r="38" spans="1:2" x14ac:dyDescent="0.25">
      <c r="A38" t="s">
        <v>1036</v>
      </c>
      <c r="B38" t="s">
        <v>1271</v>
      </c>
    </row>
    <row r="39" spans="1:2" x14ac:dyDescent="0.25">
      <c r="A39" t="s">
        <v>1623</v>
      </c>
      <c r="B39" t="s">
        <v>1272</v>
      </c>
    </row>
    <row r="40" spans="1:2" x14ac:dyDescent="0.25">
      <c r="A40" t="s">
        <v>1064</v>
      </c>
      <c r="B40" t="s">
        <v>1273</v>
      </c>
    </row>
    <row r="41" spans="1:2" x14ac:dyDescent="0.25">
      <c r="A41" t="s">
        <v>1065</v>
      </c>
      <c r="B41" t="s">
        <v>1274</v>
      </c>
    </row>
    <row r="42" spans="1:2" x14ac:dyDescent="0.25">
      <c r="A42" t="s">
        <v>1066</v>
      </c>
      <c r="B42" t="s">
        <v>1275</v>
      </c>
    </row>
    <row r="43" spans="1:2" x14ac:dyDescent="0.25">
      <c r="A43" t="s">
        <v>980</v>
      </c>
      <c r="B43" t="s">
        <v>1276</v>
      </c>
    </row>
    <row r="44" spans="1:2" x14ac:dyDescent="0.25">
      <c r="A44" t="s">
        <v>741</v>
      </c>
      <c r="B44" t="s">
        <v>1277</v>
      </c>
    </row>
    <row r="45" spans="1:2" x14ac:dyDescent="0.25">
      <c r="A45" t="s">
        <v>1067</v>
      </c>
      <c r="B45" t="s">
        <v>1278</v>
      </c>
    </row>
    <row r="46" spans="1:2" x14ac:dyDescent="0.25">
      <c r="A46" t="s">
        <v>742</v>
      </c>
      <c r="B46" t="s">
        <v>1279</v>
      </c>
    </row>
    <row r="47" spans="1:2" x14ac:dyDescent="0.25">
      <c r="A47" t="s">
        <v>743</v>
      </c>
      <c r="B47" t="s">
        <v>1280</v>
      </c>
    </row>
    <row r="48" spans="1:2" x14ac:dyDescent="0.25">
      <c r="A48" t="s">
        <v>1068</v>
      </c>
      <c r="B48" t="s">
        <v>1281</v>
      </c>
    </row>
    <row r="49" spans="1:2" x14ac:dyDescent="0.25">
      <c r="A49" t="s">
        <v>1069</v>
      </c>
      <c r="B49" t="s">
        <v>1282</v>
      </c>
    </row>
    <row r="50" spans="1:2" x14ac:dyDescent="0.25">
      <c r="A50" t="s">
        <v>1070</v>
      </c>
      <c r="B50" t="s">
        <v>1283</v>
      </c>
    </row>
    <row r="51" spans="1:2" x14ac:dyDescent="0.25">
      <c r="A51" t="s">
        <v>908</v>
      </c>
      <c r="B51" t="s">
        <v>1284</v>
      </c>
    </row>
    <row r="52" spans="1:2" x14ac:dyDescent="0.25">
      <c r="A52" t="s">
        <v>744</v>
      </c>
      <c r="B52" t="s">
        <v>1285</v>
      </c>
    </row>
    <row r="53" spans="1:2" x14ac:dyDescent="0.25">
      <c r="A53" t="s">
        <v>1129</v>
      </c>
      <c r="B53" t="s">
        <v>1286</v>
      </c>
    </row>
    <row r="54" spans="1:2" x14ac:dyDescent="0.25">
      <c r="A54" t="s">
        <v>748</v>
      </c>
      <c r="B54" t="s">
        <v>1287</v>
      </c>
    </row>
    <row r="55" spans="1:2" x14ac:dyDescent="0.25">
      <c r="A55" t="s">
        <v>1071</v>
      </c>
      <c r="B55" t="s">
        <v>1288</v>
      </c>
    </row>
    <row r="56" spans="1:2" x14ac:dyDescent="0.25">
      <c r="A56" t="s">
        <v>750</v>
      </c>
      <c r="B56" t="s">
        <v>1289</v>
      </c>
    </row>
    <row r="57" spans="1:2" x14ac:dyDescent="0.25">
      <c r="A57" t="s">
        <v>752</v>
      </c>
      <c r="B57" t="s">
        <v>1290</v>
      </c>
    </row>
    <row r="58" spans="1:2" x14ac:dyDescent="0.25">
      <c r="A58" t="s">
        <v>981</v>
      </c>
      <c r="B58" t="s">
        <v>1291</v>
      </c>
    </row>
    <row r="59" spans="1:2" x14ac:dyDescent="0.25">
      <c r="A59" t="s">
        <v>909</v>
      </c>
      <c r="B59" t="s">
        <v>1292</v>
      </c>
    </row>
    <row r="60" spans="1:2" x14ac:dyDescent="0.25">
      <c r="A60" t="s">
        <v>1037</v>
      </c>
      <c r="B60" t="s">
        <v>1293</v>
      </c>
    </row>
    <row r="61" spans="1:2" x14ac:dyDescent="0.25">
      <c r="A61" t="s">
        <v>753</v>
      </c>
      <c r="B61" t="s">
        <v>1294</v>
      </c>
    </row>
    <row r="62" spans="1:2" x14ac:dyDescent="0.25">
      <c r="A62" t="s">
        <v>754</v>
      </c>
      <c r="B62" t="s">
        <v>1295</v>
      </c>
    </row>
    <row r="63" spans="1:2" x14ac:dyDescent="0.25">
      <c r="A63" t="s">
        <v>982</v>
      </c>
      <c r="B63" t="s">
        <v>1296</v>
      </c>
    </row>
    <row r="64" spans="1:2" x14ac:dyDescent="0.25">
      <c r="A64" t="s">
        <v>755</v>
      </c>
      <c r="B64" t="s">
        <v>1297</v>
      </c>
    </row>
    <row r="65" spans="1:2" x14ac:dyDescent="0.25">
      <c r="A65" t="s">
        <v>983</v>
      </c>
      <c r="B65" t="s">
        <v>1298</v>
      </c>
    </row>
    <row r="66" spans="1:2" x14ac:dyDescent="0.25">
      <c r="A66" t="s">
        <v>1050</v>
      </c>
      <c r="B66" t="s">
        <v>1299</v>
      </c>
    </row>
    <row r="67" spans="1:2" x14ac:dyDescent="0.25">
      <c r="A67" t="s">
        <v>910</v>
      </c>
      <c r="B67" t="s">
        <v>1300</v>
      </c>
    </row>
    <row r="68" spans="1:2" x14ac:dyDescent="0.25">
      <c r="A68" t="s">
        <v>984</v>
      </c>
      <c r="B68" t="s">
        <v>1301</v>
      </c>
    </row>
    <row r="69" spans="1:2" x14ac:dyDescent="0.25">
      <c r="A69" t="s">
        <v>985</v>
      </c>
      <c r="B69" t="s">
        <v>1302</v>
      </c>
    </row>
    <row r="70" spans="1:2" x14ac:dyDescent="0.25">
      <c r="A70" t="s">
        <v>986</v>
      </c>
      <c r="B70" t="s">
        <v>1303</v>
      </c>
    </row>
    <row r="71" spans="1:2" x14ac:dyDescent="0.25">
      <c r="A71" t="s">
        <v>1051</v>
      </c>
      <c r="B71" t="s">
        <v>1304</v>
      </c>
    </row>
    <row r="72" spans="1:2" x14ac:dyDescent="0.25">
      <c r="A72" t="s">
        <v>987</v>
      </c>
      <c r="B72" t="s">
        <v>1305</v>
      </c>
    </row>
    <row r="73" spans="1:2" x14ac:dyDescent="0.25">
      <c r="A73" t="s">
        <v>1114</v>
      </c>
      <c r="B73" t="s">
        <v>1306</v>
      </c>
    </row>
    <row r="74" spans="1:2" x14ac:dyDescent="0.25">
      <c r="A74" t="s">
        <v>911</v>
      </c>
      <c r="B74" t="s">
        <v>1307</v>
      </c>
    </row>
    <row r="75" spans="1:2" x14ac:dyDescent="0.25">
      <c r="A75" t="s">
        <v>1130</v>
      </c>
      <c r="B75" t="s">
        <v>1308</v>
      </c>
    </row>
    <row r="76" spans="1:2" x14ac:dyDescent="0.25">
      <c r="A76" t="s">
        <v>913</v>
      </c>
      <c r="B76" t="s">
        <v>1309</v>
      </c>
    </row>
    <row r="77" spans="1:2" x14ac:dyDescent="0.25">
      <c r="A77" t="s">
        <v>914</v>
      </c>
      <c r="B77" t="s">
        <v>1310</v>
      </c>
    </row>
    <row r="78" spans="1:2" x14ac:dyDescent="0.25">
      <c r="A78" t="s">
        <v>915</v>
      </c>
      <c r="B78" t="s">
        <v>1311</v>
      </c>
    </row>
    <row r="79" spans="1:2" x14ac:dyDescent="0.25">
      <c r="A79" t="s">
        <v>1052</v>
      </c>
      <c r="B79" t="s">
        <v>1312</v>
      </c>
    </row>
    <row r="80" spans="1:2" x14ac:dyDescent="0.25">
      <c r="A80" t="s">
        <v>1072</v>
      </c>
      <c r="B80" t="s">
        <v>1313</v>
      </c>
    </row>
    <row r="81" spans="1:2" x14ac:dyDescent="0.25">
      <c r="A81" t="s">
        <v>916</v>
      </c>
      <c r="B81" t="s">
        <v>1314</v>
      </c>
    </row>
    <row r="82" spans="1:2" x14ac:dyDescent="0.25">
      <c r="A82" t="s">
        <v>917</v>
      </c>
      <c r="B82" t="s">
        <v>1315</v>
      </c>
    </row>
    <row r="83" spans="1:2" x14ac:dyDescent="0.25">
      <c r="A83" t="s">
        <v>918</v>
      </c>
      <c r="B83" t="s">
        <v>1316</v>
      </c>
    </row>
    <row r="84" spans="1:2" x14ac:dyDescent="0.25">
      <c r="A84" t="s">
        <v>1073</v>
      </c>
      <c r="B84" t="s">
        <v>1317</v>
      </c>
    </row>
    <row r="85" spans="1:2" x14ac:dyDescent="0.25">
      <c r="A85" t="s">
        <v>757</v>
      </c>
      <c r="B85" t="s">
        <v>1318</v>
      </c>
    </row>
    <row r="86" spans="1:2" x14ac:dyDescent="0.25">
      <c r="A86" t="s">
        <v>1038</v>
      </c>
      <c r="B86" t="s">
        <v>1319</v>
      </c>
    </row>
    <row r="87" spans="1:2" x14ac:dyDescent="0.25">
      <c r="A87" t="s">
        <v>758</v>
      </c>
      <c r="B87" t="s">
        <v>1320</v>
      </c>
    </row>
    <row r="88" spans="1:2" x14ac:dyDescent="0.25">
      <c r="A88" t="s">
        <v>759</v>
      </c>
      <c r="B88" t="s">
        <v>1321</v>
      </c>
    </row>
    <row r="89" spans="1:2" x14ac:dyDescent="0.25">
      <c r="A89" t="s">
        <v>1074</v>
      </c>
      <c r="B89" t="s">
        <v>1322</v>
      </c>
    </row>
    <row r="90" spans="1:2" x14ac:dyDescent="0.25">
      <c r="A90" t="s">
        <v>988</v>
      </c>
      <c r="B90" t="s">
        <v>1323</v>
      </c>
    </row>
    <row r="91" spans="1:2" x14ac:dyDescent="0.25">
      <c r="A91" t="s">
        <v>919</v>
      </c>
      <c r="B91" t="s">
        <v>1324</v>
      </c>
    </row>
    <row r="92" spans="1:2" x14ac:dyDescent="0.25">
      <c r="A92" t="s">
        <v>920</v>
      </c>
      <c r="B92" t="s">
        <v>1325</v>
      </c>
    </row>
    <row r="93" spans="1:2" x14ac:dyDescent="0.25">
      <c r="A93" t="s">
        <v>1075</v>
      </c>
      <c r="B93" t="s">
        <v>1326</v>
      </c>
    </row>
    <row r="94" spans="1:2" x14ac:dyDescent="0.25">
      <c r="A94" t="s">
        <v>1076</v>
      </c>
      <c r="B94" t="s">
        <v>1327</v>
      </c>
    </row>
    <row r="95" spans="1:2" x14ac:dyDescent="0.25">
      <c r="A95" t="s">
        <v>1039</v>
      </c>
      <c r="B95" t="s">
        <v>1328</v>
      </c>
    </row>
    <row r="96" spans="1:2" x14ac:dyDescent="0.25">
      <c r="A96" t="s">
        <v>921</v>
      </c>
      <c r="B96" t="s">
        <v>1329</v>
      </c>
    </row>
    <row r="97" spans="1:2" x14ac:dyDescent="0.25">
      <c r="A97" t="s">
        <v>760</v>
      </c>
      <c r="B97" t="s">
        <v>1330</v>
      </c>
    </row>
    <row r="98" spans="1:2" x14ac:dyDescent="0.25">
      <c r="A98" t="s">
        <v>922</v>
      </c>
      <c r="B98" t="s">
        <v>1331</v>
      </c>
    </row>
    <row r="99" spans="1:2" x14ac:dyDescent="0.25">
      <c r="A99" t="s">
        <v>761</v>
      </c>
      <c r="B99" t="s">
        <v>1332</v>
      </c>
    </row>
    <row r="100" spans="1:2" x14ac:dyDescent="0.25">
      <c r="A100" t="s">
        <v>762</v>
      </c>
      <c r="B100" t="s">
        <v>1333</v>
      </c>
    </row>
    <row r="101" spans="1:2" x14ac:dyDescent="0.25">
      <c r="A101" t="s">
        <v>764</v>
      </c>
      <c r="B101" t="s">
        <v>1334</v>
      </c>
    </row>
    <row r="102" spans="1:2" x14ac:dyDescent="0.25">
      <c r="A102" t="s">
        <v>1077</v>
      </c>
      <c r="B102" t="s">
        <v>1335</v>
      </c>
    </row>
    <row r="103" spans="1:2" x14ac:dyDescent="0.25">
      <c r="A103" t="s">
        <v>923</v>
      </c>
      <c r="B103" t="s">
        <v>1336</v>
      </c>
    </row>
    <row r="104" spans="1:2" x14ac:dyDescent="0.25">
      <c r="A104" t="s">
        <v>765</v>
      </c>
      <c r="B104" t="s">
        <v>1337</v>
      </c>
    </row>
    <row r="105" spans="1:2" x14ac:dyDescent="0.25">
      <c r="A105" t="s">
        <v>766</v>
      </c>
      <c r="B105" t="s">
        <v>1338</v>
      </c>
    </row>
    <row r="106" spans="1:2" x14ac:dyDescent="0.25">
      <c r="A106" t="s">
        <v>924</v>
      </c>
      <c r="B106" t="s">
        <v>1339</v>
      </c>
    </row>
    <row r="107" spans="1:2" x14ac:dyDescent="0.25">
      <c r="A107" t="s">
        <v>1040</v>
      </c>
      <c r="B107" t="s">
        <v>1340</v>
      </c>
    </row>
    <row r="108" spans="1:2" x14ac:dyDescent="0.25">
      <c r="A108" t="s">
        <v>1041</v>
      </c>
      <c r="B108" t="s">
        <v>1341</v>
      </c>
    </row>
    <row r="109" spans="1:2" x14ac:dyDescent="0.25">
      <c r="A109" t="s">
        <v>925</v>
      </c>
      <c r="B109" t="s">
        <v>1342</v>
      </c>
    </row>
    <row r="110" spans="1:2" x14ac:dyDescent="0.25">
      <c r="A110" t="s">
        <v>989</v>
      </c>
      <c r="B110" t="s">
        <v>1343</v>
      </c>
    </row>
    <row r="111" spans="1:2" x14ac:dyDescent="0.25">
      <c r="A111" t="s">
        <v>767</v>
      </c>
      <c r="B111" t="s">
        <v>1344</v>
      </c>
    </row>
    <row r="112" spans="1:2" x14ac:dyDescent="0.25">
      <c r="A112" t="s">
        <v>768</v>
      </c>
      <c r="B112" t="s">
        <v>1345</v>
      </c>
    </row>
    <row r="113" spans="1:2" x14ac:dyDescent="0.25">
      <c r="A113" t="s">
        <v>1078</v>
      </c>
      <c r="B113" t="s">
        <v>1346</v>
      </c>
    </row>
    <row r="114" spans="1:2" x14ac:dyDescent="0.25">
      <c r="A114" t="s">
        <v>1131</v>
      </c>
      <c r="B114" t="s">
        <v>1347</v>
      </c>
    </row>
    <row r="115" spans="1:2" x14ac:dyDescent="0.25">
      <c r="A115" t="s">
        <v>769</v>
      </c>
      <c r="B115" t="s">
        <v>1348</v>
      </c>
    </row>
    <row r="116" spans="1:2" x14ac:dyDescent="0.25">
      <c r="A116" t="s">
        <v>990</v>
      </c>
      <c r="B116" t="s">
        <v>1349</v>
      </c>
    </row>
    <row r="117" spans="1:2" x14ac:dyDescent="0.25">
      <c r="A117" t="s">
        <v>926</v>
      </c>
      <c r="B117" t="s">
        <v>1350</v>
      </c>
    </row>
    <row r="118" spans="1:2" x14ac:dyDescent="0.25">
      <c r="A118" t="s">
        <v>1115</v>
      </c>
      <c r="B118" t="s">
        <v>1351</v>
      </c>
    </row>
    <row r="119" spans="1:2" x14ac:dyDescent="0.25">
      <c r="A119" t="s">
        <v>991</v>
      </c>
      <c r="B119" t="s">
        <v>1352</v>
      </c>
    </row>
    <row r="120" spans="1:2" x14ac:dyDescent="0.25">
      <c r="A120" t="s">
        <v>992</v>
      </c>
      <c r="B120" t="s">
        <v>1353</v>
      </c>
    </row>
    <row r="121" spans="1:2" x14ac:dyDescent="0.25">
      <c r="A121" t="s">
        <v>771</v>
      </c>
      <c r="B121" t="s">
        <v>1354</v>
      </c>
    </row>
    <row r="122" spans="1:2" x14ac:dyDescent="0.25">
      <c r="A122" t="s">
        <v>1624</v>
      </c>
      <c r="B122" t="s">
        <v>1355</v>
      </c>
    </row>
    <row r="123" spans="1:2" x14ac:dyDescent="0.25">
      <c r="A123" t="s">
        <v>1053</v>
      </c>
      <c r="B123" t="s">
        <v>1356</v>
      </c>
    </row>
    <row r="124" spans="1:2" x14ac:dyDescent="0.25">
      <c r="A124" t="s">
        <v>993</v>
      </c>
      <c r="B124" t="s">
        <v>1357</v>
      </c>
    </row>
    <row r="125" spans="1:2" x14ac:dyDescent="0.25">
      <c r="A125" t="s">
        <v>773</v>
      </c>
      <c r="B125" t="s">
        <v>1358</v>
      </c>
    </row>
    <row r="126" spans="1:2" x14ac:dyDescent="0.25">
      <c r="A126" t="s">
        <v>774</v>
      </c>
      <c r="B126" t="s">
        <v>1359</v>
      </c>
    </row>
    <row r="127" spans="1:2" x14ac:dyDescent="0.25">
      <c r="A127" t="s">
        <v>1132</v>
      </c>
      <c r="B127" t="s">
        <v>1360</v>
      </c>
    </row>
    <row r="128" spans="1:2" x14ac:dyDescent="0.25">
      <c r="A128" t="s">
        <v>1079</v>
      </c>
      <c r="B128" t="s">
        <v>1361</v>
      </c>
    </row>
    <row r="129" spans="1:2" x14ac:dyDescent="0.25">
      <c r="A129" t="s">
        <v>775</v>
      </c>
      <c r="B129" t="s">
        <v>1362</v>
      </c>
    </row>
    <row r="130" spans="1:2" x14ac:dyDescent="0.25">
      <c r="A130" t="s">
        <v>1133</v>
      </c>
      <c r="B130" t="s">
        <v>1363</v>
      </c>
    </row>
    <row r="131" spans="1:2" x14ac:dyDescent="0.25">
      <c r="A131" t="s">
        <v>776</v>
      </c>
      <c r="B131" t="s">
        <v>1364</v>
      </c>
    </row>
    <row r="132" spans="1:2" x14ac:dyDescent="0.25">
      <c r="A132" t="s">
        <v>1080</v>
      </c>
      <c r="B132" t="s">
        <v>1365</v>
      </c>
    </row>
    <row r="133" spans="1:2" x14ac:dyDescent="0.25">
      <c r="A133" t="s">
        <v>778</v>
      </c>
      <c r="B133" t="s">
        <v>1366</v>
      </c>
    </row>
    <row r="134" spans="1:2" x14ac:dyDescent="0.25">
      <c r="A134" t="s">
        <v>779</v>
      </c>
      <c r="B134" t="s">
        <v>1367</v>
      </c>
    </row>
    <row r="135" spans="1:2" x14ac:dyDescent="0.25">
      <c r="A135" t="s">
        <v>782</v>
      </c>
      <c r="B135" t="s">
        <v>1368</v>
      </c>
    </row>
    <row r="136" spans="1:2" x14ac:dyDescent="0.25">
      <c r="A136" t="s">
        <v>1134</v>
      </c>
      <c r="B136" t="s">
        <v>1369</v>
      </c>
    </row>
    <row r="137" spans="1:2" x14ac:dyDescent="0.25">
      <c r="A137" t="s">
        <v>1042</v>
      </c>
      <c r="B137" t="s">
        <v>1370</v>
      </c>
    </row>
    <row r="138" spans="1:2" x14ac:dyDescent="0.25">
      <c r="A138" t="s">
        <v>783</v>
      </c>
      <c r="B138" t="s">
        <v>1371</v>
      </c>
    </row>
    <row r="139" spans="1:2" x14ac:dyDescent="0.25">
      <c r="A139" t="s">
        <v>927</v>
      </c>
      <c r="B139" t="s">
        <v>1372</v>
      </c>
    </row>
    <row r="140" spans="1:2" x14ac:dyDescent="0.25">
      <c r="A140" t="s">
        <v>1081</v>
      </c>
      <c r="B140" t="s">
        <v>1373</v>
      </c>
    </row>
    <row r="141" spans="1:2" x14ac:dyDescent="0.25">
      <c r="A141" t="s">
        <v>1082</v>
      </c>
      <c r="B141" t="s">
        <v>1374</v>
      </c>
    </row>
    <row r="142" spans="1:2" x14ac:dyDescent="0.25">
      <c r="A142" t="s">
        <v>994</v>
      </c>
      <c r="B142" t="s">
        <v>1375</v>
      </c>
    </row>
    <row r="143" spans="1:2" x14ac:dyDescent="0.25">
      <c r="A143" t="s">
        <v>928</v>
      </c>
      <c r="B143" t="s">
        <v>1231</v>
      </c>
    </row>
    <row r="144" spans="1:2" x14ac:dyDescent="0.25">
      <c r="A144" t="s">
        <v>1083</v>
      </c>
      <c r="B144" t="s">
        <v>1376</v>
      </c>
    </row>
    <row r="145" spans="1:2" x14ac:dyDescent="0.25">
      <c r="A145" t="s">
        <v>995</v>
      </c>
      <c r="B145" t="s">
        <v>1377</v>
      </c>
    </row>
    <row r="146" spans="1:2" x14ac:dyDescent="0.25">
      <c r="A146" t="s">
        <v>929</v>
      </c>
      <c r="B146" t="s">
        <v>1378</v>
      </c>
    </row>
    <row r="147" spans="1:2" x14ac:dyDescent="0.25">
      <c r="A147" t="s">
        <v>996</v>
      </c>
      <c r="B147" t="s">
        <v>1379</v>
      </c>
    </row>
    <row r="148" spans="1:2" x14ac:dyDescent="0.25">
      <c r="A148" t="s">
        <v>997</v>
      </c>
      <c r="B148" t="s">
        <v>1380</v>
      </c>
    </row>
    <row r="149" spans="1:2" x14ac:dyDescent="0.25">
      <c r="A149" t="s">
        <v>1084</v>
      </c>
      <c r="B149" t="s">
        <v>1381</v>
      </c>
    </row>
    <row r="150" spans="1:2" x14ac:dyDescent="0.25">
      <c r="A150" t="s">
        <v>998</v>
      </c>
      <c r="B150" t="s">
        <v>1382</v>
      </c>
    </row>
    <row r="151" spans="1:2" x14ac:dyDescent="0.25">
      <c r="A151" t="s">
        <v>930</v>
      </c>
      <c r="B151" t="s">
        <v>1383</v>
      </c>
    </row>
    <row r="152" spans="1:2" x14ac:dyDescent="0.25">
      <c r="A152" t="s">
        <v>785</v>
      </c>
      <c r="B152" t="s">
        <v>1384</v>
      </c>
    </row>
    <row r="153" spans="1:2" x14ac:dyDescent="0.25">
      <c r="A153" t="s">
        <v>787</v>
      </c>
      <c r="B153" t="s">
        <v>1385</v>
      </c>
    </row>
    <row r="154" spans="1:2" x14ac:dyDescent="0.25">
      <c r="A154" t="s">
        <v>788</v>
      </c>
      <c r="B154" t="s">
        <v>1386</v>
      </c>
    </row>
    <row r="155" spans="1:2" x14ac:dyDescent="0.25">
      <c r="A155" t="s">
        <v>789</v>
      </c>
      <c r="B155" t="s">
        <v>1387</v>
      </c>
    </row>
    <row r="156" spans="1:2" x14ac:dyDescent="0.25">
      <c r="A156" t="s">
        <v>790</v>
      </c>
      <c r="B156" t="s">
        <v>1388</v>
      </c>
    </row>
    <row r="157" spans="1:2" x14ac:dyDescent="0.25">
      <c r="A157" t="s">
        <v>1085</v>
      </c>
      <c r="B157" t="s">
        <v>1389</v>
      </c>
    </row>
    <row r="158" spans="1:2" x14ac:dyDescent="0.25">
      <c r="A158" t="s">
        <v>932</v>
      </c>
      <c r="B158" t="s">
        <v>1390</v>
      </c>
    </row>
    <row r="159" spans="1:2" x14ac:dyDescent="0.25">
      <c r="A159" t="s">
        <v>793</v>
      </c>
      <c r="B159" t="s">
        <v>1391</v>
      </c>
    </row>
    <row r="160" spans="1:2" x14ac:dyDescent="0.25">
      <c r="A160" t="s">
        <v>933</v>
      </c>
      <c r="B160" t="s">
        <v>1392</v>
      </c>
    </row>
    <row r="161" spans="1:2" x14ac:dyDescent="0.25">
      <c r="A161" t="s">
        <v>999</v>
      </c>
      <c r="B161" t="s">
        <v>1393</v>
      </c>
    </row>
    <row r="162" spans="1:2" x14ac:dyDescent="0.25">
      <c r="A162" t="s">
        <v>795</v>
      </c>
      <c r="B162" t="s">
        <v>1394</v>
      </c>
    </row>
    <row r="163" spans="1:2" x14ac:dyDescent="0.25">
      <c r="A163" t="s">
        <v>1086</v>
      </c>
      <c r="B163" t="s">
        <v>1395</v>
      </c>
    </row>
    <row r="164" spans="1:2" x14ac:dyDescent="0.25">
      <c r="A164" t="s">
        <v>796</v>
      </c>
      <c r="B164" t="s">
        <v>1396</v>
      </c>
    </row>
    <row r="165" spans="1:2" x14ac:dyDescent="0.25">
      <c r="A165" t="s">
        <v>1000</v>
      </c>
      <c r="B165" t="s">
        <v>1397</v>
      </c>
    </row>
    <row r="166" spans="1:2" x14ac:dyDescent="0.25">
      <c r="A166" t="s">
        <v>1001</v>
      </c>
      <c r="B166" t="s">
        <v>1398</v>
      </c>
    </row>
    <row r="167" spans="1:2" x14ac:dyDescent="0.25">
      <c r="A167" t="s">
        <v>1087</v>
      </c>
      <c r="B167" t="s">
        <v>1399</v>
      </c>
    </row>
    <row r="168" spans="1:2" x14ac:dyDescent="0.25">
      <c r="A168" t="s">
        <v>798</v>
      </c>
      <c r="B168" t="s">
        <v>1400</v>
      </c>
    </row>
    <row r="169" spans="1:2" x14ac:dyDescent="0.25">
      <c r="A169" t="s">
        <v>799</v>
      </c>
      <c r="B169" t="s">
        <v>1401</v>
      </c>
    </row>
    <row r="170" spans="1:2" x14ac:dyDescent="0.25">
      <c r="A170" t="s">
        <v>934</v>
      </c>
      <c r="B170" t="s">
        <v>1402</v>
      </c>
    </row>
    <row r="171" spans="1:2" x14ac:dyDescent="0.25">
      <c r="A171" t="s">
        <v>800</v>
      </c>
      <c r="B171" t="s">
        <v>1403</v>
      </c>
    </row>
    <row r="172" spans="1:2" x14ac:dyDescent="0.25">
      <c r="A172" t="s">
        <v>935</v>
      </c>
      <c r="B172" t="s">
        <v>1404</v>
      </c>
    </row>
    <row r="173" spans="1:2" x14ac:dyDescent="0.25">
      <c r="A173" t="s">
        <v>936</v>
      </c>
      <c r="B173" t="s">
        <v>1405</v>
      </c>
    </row>
    <row r="174" spans="1:2" x14ac:dyDescent="0.25">
      <c r="A174" t="s">
        <v>1002</v>
      </c>
      <c r="B174" t="s">
        <v>1406</v>
      </c>
    </row>
    <row r="175" spans="1:2" x14ac:dyDescent="0.25">
      <c r="A175" t="s">
        <v>1054</v>
      </c>
      <c r="B175" t="s">
        <v>1407</v>
      </c>
    </row>
    <row r="176" spans="1:2" x14ac:dyDescent="0.25">
      <c r="A176" t="s">
        <v>937</v>
      </c>
      <c r="B176" t="s">
        <v>1408</v>
      </c>
    </row>
    <row r="177" spans="1:2" x14ac:dyDescent="0.25">
      <c r="A177" t="s">
        <v>801</v>
      </c>
      <c r="B177" t="s">
        <v>1409</v>
      </c>
    </row>
    <row r="178" spans="1:2" x14ac:dyDescent="0.25">
      <c r="A178" t="s">
        <v>938</v>
      </c>
      <c r="B178" t="s">
        <v>1410</v>
      </c>
    </row>
    <row r="179" spans="1:2" x14ac:dyDescent="0.25">
      <c r="A179" t="s">
        <v>1088</v>
      </c>
      <c r="B179" t="s">
        <v>1411</v>
      </c>
    </row>
    <row r="180" spans="1:2" x14ac:dyDescent="0.25">
      <c r="A180" t="s">
        <v>939</v>
      </c>
      <c r="B180" t="s">
        <v>1412</v>
      </c>
    </row>
    <row r="181" spans="1:2" x14ac:dyDescent="0.25">
      <c r="A181" t="s">
        <v>803</v>
      </c>
      <c r="B181" t="s">
        <v>1413</v>
      </c>
    </row>
    <row r="182" spans="1:2" x14ac:dyDescent="0.25">
      <c r="A182" t="s">
        <v>805</v>
      </c>
      <c r="B182" t="s">
        <v>1414</v>
      </c>
    </row>
    <row r="183" spans="1:2" x14ac:dyDescent="0.25">
      <c r="A183" t="s">
        <v>1116</v>
      </c>
      <c r="B183" t="s">
        <v>1415</v>
      </c>
    </row>
    <row r="184" spans="1:2" x14ac:dyDescent="0.25">
      <c r="A184" t="s">
        <v>806</v>
      </c>
      <c r="B184" t="s">
        <v>1416</v>
      </c>
    </row>
    <row r="185" spans="1:2" x14ac:dyDescent="0.25">
      <c r="A185" t="s">
        <v>807</v>
      </c>
      <c r="B185" t="s">
        <v>1417</v>
      </c>
    </row>
    <row r="186" spans="1:2" x14ac:dyDescent="0.25">
      <c r="A186" t="s">
        <v>1117</v>
      </c>
      <c r="B186" t="s">
        <v>1418</v>
      </c>
    </row>
    <row r="187" spans="1:2" x14ac:dyDescent="0.25">
      <c r="A187" t="s">
        <v>808</v>
      </c>
      <c r="B187" t="s">
        <v>1419</v>
      </c>
    </row>
    <row r="188" spans="1:2" x14ac:dyDescent="0.25">
      <c r="A188" t="s">
        <v>809</v>
      </c>
      <c r="B188" t="s">
        <v>1420</v>
      </c>
    </row>
    <row r="189" spans="1:2" x14ac:dyDescent="0.25">
      <c r="A189" t="s">
        <v>940</v>
      </c>
      <c r="B189" t="s">
        <v>1421</v>
      </c>
    </row>
    <row r="190" spans="1:2" x14ac:dyDescent="0.25">
      <c r="A190" t="s">
        <v>1118</v>
      </c>
      <c r="B190" t="s">
        <v>1422</v>
      </c>
    </row>
    <row r="191" spans="1:2" x14ac:dyDescent="0.25">
      <c r="A191" t="s">
        <v>1055</v>
      </c>
      <c r="B191" t="s">
        <v>1423</v>
      </c>
    </row>
    <row r="192" spans="1:2" x14ac:dyDescent="0.25">
      <c r="A192" t="s">
        <v>810</v>
      </c>
      <c r="B192" t="s">
        <v>1424</v>
      </c>
    </row>
    <row r="193" spans="1:2" x14ac:dyDescent="0.25">
      <c r="A193" t="s">
        <v>1003</v>
      </c>
      <c r="B193" t="s">
        <v>1425</v>
      </c>
    </row>
    <row r="194" spans="1:2" x14ac:dyDescent="0.25">
      <c r="A194" t="s">
        <v>1004</v>
      </c>
      <c r="B194" t="s">
        <v>1426</v>
      </c>
    </row>
    <row r="195" spans="1:2" x14ac:dyDescent="0.25">
      <c r="A195" t="s">
        <v>811</v>
      </c>
      <c r="B195" t="s">
        <v>1232</v>
      </c>
    </row>
    <row r="196" spans="1:2" x14ac:dyDescent="0.25">
      <c r="A196" t="s">
        <v>813</v>
      </c>
      <c r="B196" t="s">
        <v>1233</v>
      </c>
    </row>
    <row r="197" spans="1:2" x14ac:dyDescent="0.25">
      <c r="A197" t="s">
        <v>1119</v>
      </c>
      <c r="B197" t="s">
        <v>1427</v>
      </c>
    </row>
    <row r="198" spans="1:2" x14ac:dyDescent="0.25">
      <c r="A198" t="s">
        <v>1005</v>
      </c>
      <c r="B198" t="s">
        <v>1428</v>
      </c>
    </row>
    <row r="199" spans="1:2" x14ac:dyDescent="0.25">
      <c r="A199" t="s">
        <v>941</v>
      </c>
      <c r="B199" t="s">
        <v>1429</v>
      </c>
    </row>
    <row r="200" spans="1:2" x14ac:dyDescent="0.25">
      <c r="A200" t="s">
        <v>942</v>
      </c>
      <c r="B200" t="s">
        <v>1430</v>
      </c>
    </row>
    <row r="201" spans="1:2" x14ac:dyDescent="0.25">
      <c r="A201" t="s">
        <v>814</v>
      </c>
      <c r="B201" t="s">
        <v>1431</v>
      </c>
    </row>
    <row r="202" spans="1:2" x14ac:dyDescent="0.25">
      <c r="A202" t="s">
        <v>1120</v>
      </c>
      <c r="B202" t="s">
        <v>1432</v>
      </c>
    </row>
    <row r="203" spans="1:2" x14ac:dyDescent="0.25">
      <c r="A203" t="s">
        <v>1006</v>
      </c>
      <c r="B203" t="s">
        <v>1433</v>
      </c>
    </row>
    <row r="204" spans="1:2" x14ac:dyDescent="0.25">
      <c r="A204" t="s">
        <v>815</v>
      </c>
      <c r="B204" t="s">
        <v>1434</v>
      </c>
    </row>
    <row r="205" spans="1:2" x14ac:dyDescent="0.25">
      <c r="A205" t="s">
        <v>816</v>
      </c>
      <c r="B205" t="s">
        <v>1435</v>
      </c>
    </row>
    <row r="206" spans="1:2" x14ac:dyDescent="0.25">
      <c r="A206" t="s">
        <v>1136</v>
      </c>
      <c r="B206" t="s">
        <v>1436</v>
      </c>
    </row>
    <row r="207" spans="1:2" x14ac:dyDescent="0.25">
      <c r="A207" t="s">
        <v>817</v>
      </c>
      <c r="B207" t="s">
        <v>1437</v>
      </c>
    </row>
    <row r="208" spans="1:2" x14ac:dyDescent="0.25">
      <c r="A208" t="s">
        <v>818</v>
      </c>
      <c r="B208" t="s">
        <v>1438</v>
      </c>
    </row>
    <row r="209" spans="1:2" x14ac:dyDescent="0.25">
      <c r="A209" t="s">
        <v>1089</v>
      </c>
      <c r="B209" t="s">
        <v>1439</v>
      </c>
    </row>
    <row r="210" spans="1:2" x14ac:dyDescent="0.25">
      <c r="A210" t="s">
        <v>819</v>
      </c>
      <c r="B210" t="s">
        <v>1440</v>
      </c>
    </row>
    <row r="211" spans="1:2" x14ac:dyDescent="0.25">
      <c r="A211" t="s">
        <v>1056</v>
      </c>
      <c r="B211" t="s">
        <v>1441</v>
      </c>
    </row>
    <row r="212" spans="1:2" x14ac:dyDescent="0.25">
      <c r="A212" t="s">
        <v>1090</v>
      </c>
      <c r="B212" t="s">
        <v>1442</v>
      </c>
    </row>
    <row r="213" spans="1:2" x14ac:dyDescent="0.25">
      <c r="A213" t="s">
        <v>820</v>
      </c>
      <c r="B213" t="s">
        <v>1443</v>
      </c>
    </row>
    <row r="214" spans="1:2" x14ac:dyDescent="0.25">
      <c r="A214" t="s">
        <v>821</v>
      </c>
      <c r="B214" t="s">
        <v>1444</v>
      </c>
    </row>
    <row r="215" spans="1:2" x14ac:dyDescent="0.25">
      <c r="A215" t="s">
        <v>822</v>
      </c>
      <c r="B215" t="s">
        <v>1445</v>
      </c>
    </row>
    <row r="216" spans="1:2" x14ac:dyDescent="0.25">
      <c r="A216" t="s">
        <v>823</v>
      </c>
      <c r="B216" t="s">
        <v>1446</v>
      </c>
    </row>
    <row r="217" spans="1:2" x14ac:dyDescent="0.25">
      <c r="A217" t="s">
        <v>1091</v>
      </c>
      <c r="B217" t="s">
        <v>1447</v>
      </c>
    </row>
    <row r="218" spans="1:2" x14ac:dyDescent="0.25">
      <c r="A218" t="s">
        <v>824</v>
      </c>
      <c r="B218" t="s">
        <v>1448</v>
      </c>
    </row>
    <row r="219" spans="1:2" x14ac:dyDescent="0.25">
      <c r="A219" t="s">
        <v>943</v>
      </c>
      <c r="B219" t="s">
        <v>1449</v>
      </c>
    </row>
    <row r="220" spans="1:2" x14ac:dyDescent="0.25">
      <c r="A220" t="s">
        <v>1137</v>
      </c>
      <c r="B220" t="s">
        <v>1450</v>
      </c>
    </row>
    <row r="221" spans="1:2" x14ac:dyDescent="0.25">
      <c r="A221" t="s">
        <v>1092</v>
      </c>
      <c r="B221" t="s">
        <v>1451</v>
      </c>
    </row>
    <row r="222" spans="1:2" x14ac:dyDescent="0.25">
      <c r="A222" t="s">
        <v>825</v>
      </c>
      <c r="B222" t="s">
        <v>1452</v>
      </c>
    </row>
    <row r="223" spans="1:2" x14ac:dyDescent="0.25">
      <c r="A223" t="s">
        <v>1043</v>
      </c>
      <c r="B223" t="s">
        <v>1453</v>
      </c>
    </row>
    <row r="224" spans="1:2" x14ac:dyDescent="0.25">
      <c r="A224" t="s">
        <v>827</v>
      </c>
      <c r="B224" t="s">
        <v>1454</v>
      </c>
    </row>
    <row r="225" spans="1:2" x14ac:dyDescent="0.25">
      <c r="A225" t="s">
        <v>828</v>
      </c>
      <c r="B225" t="s">
        <v>1455</v>
      </c>
    </row>
    <row r="226" spans="1:2" x14ac:dyDescent="0.25">
      <c r="A226" t="s">
        <v>944</v>
      </c>
      <c r="B226" t="s">
        <v>1456</v>
      </c>
    </row>
    <row r="227" spans="1:2" x14ac:dyDescent="0.25">
      <c r="A227" t="s">
        <v>829</v>
      </c>
      <c r="B227" t="s">
        <v>1457</v>
      </c>
    </row>
    <row r="228" spans="1:2" x14ac:dyDescent="0.25">
      <c r="A228" t="s">
        <v>830</v>
      </c>
      <c r="B228" t="s">
        <v>1458</v>
      </c>
    </row>
    <row r="229" spans="1:2" x14ac:dyDescent="0.25">
      <c r="A229" t="s">
        <v>1138</v>
      </c>
      <c r="B229" t="s">
        <v>1459</v>
      </c>
    </row>
    <row r="230" spans="1:2" x14ac:dyDescent="0.25">
      <c r="A230" t="s">
        <v>945</v>
      </c>
      <c r="B230" t="s">
        <v>1460</v>
      </c>
    </row>
    <row r="231" spans="1:2" x14ac:dyDescent="0.25">
      <c r="A231" t="s">
        <v>1139</v>
      </c>
      <c r="B231" t="s">
        <v>1461</v>
      </c>
    </row>
    <row r="232" spans="1:2" x14ac:dyDescent="0.25">
      <c r="A232" t="s">
        <v>831</v>
      </c>
      <c r="B232" t="s">
        <v>1462</v>
      </c>
    </row>
    <row r="233" spans="1:2" x14ac:dyDescent="0.25">
      <c r="A233" t="s">
        <v>832</v>
      </c>
      <c r="B233" t="s">
        <v>1463</v>
      </c>
    </row>
    <row r="234" spans="1:2" x14ac:dyDescent="0.25">
      <c r="A234" t="s">
        <v>1093</v>
      </c>
      <c r="B234" t="s">
        <v>1464</v>
      </c>
    </row>
    <row r="235" spans="1:2" x14ac:dyDescent="0.25">
      <c r="A235" t="s">
        <v>834</v>
      </c>
      <c r="B235" t="s">
        <v>1465</v>
      </c>
    </row>
    <row r="236" spans="1:2" x14ac:dyDescent="0.25">
      <c r="A236" t="s">
        <v>1094</v>
      </c>
      <c r="B236" t="s">
        <v>1466</v>
      </c>
    </row>
    <row r="237" spans="1:2" x14ac:dyDescent="0.25">
      <c r="A237" t="s">
        <v>1095</v>
      </c>
      <c r="B237" t="s">
        <v>1467</v>
      </c>
    </row>
    <row r="238" spans="1:2" x14ac:dyDescent="0.25">
      <c r="A238" t="s">
        <v>835</v>
      </c>
      <c r="B238" t="s">
        <v>1468</v>
      </c>
    </row>
    <row r="239" spans="1:2" x14ac:dyDescent="0.25">
      <c r="A239" t="s">
        <v>836</v>
      </c>
      <c r="B239" t="s">
        <v>1469</v>
      </c>
    </row>
    <row r="240" spans="1:2" x14ac:dyDescent="0.25">
      <c r="A240" t="s">
        <v>838</v>
      </c>
      <c r="B240" t="s">
        <v>1470</v>
      </c>
    </row>
    <row r="241" spans="1:2" x14ac:dyDescent="0.25">
      <c r="A241" t="s">
        <v>839</v>
      </c>
      <c r="B241" t="s">
        <v>1471</v>
      </c>
    </row>
    <row r="242" spans="1:2" x14ac:dyDescent="0.25">
      <c r="A242" t="s">
        <v>1096</v>
      </c>
      <c r="B242" t="s">
        <v>1472</v>
      </c>
    </row>
    <row r="243" spans="1:2" x14ac:dyDescent="0.25">
      <c r="A243" t="s">
        <v>841</v>
      </c>
      <c r="B243" t="s">
        <v>1473</v>
      </c>
    </row>
    <row r="244" spans="1:2" x14ac:dyDescent="0.25">
      <c r="A244" t="s">
        <v>1007</v>
      </c>
      <c r="B244" t="s">
        <v>1474</v>
      </c>
    </row>
    <row r="245" spans="1:2" x14ac:dyDescent="0.25">
      <c r="A245" t="s">
        <v>1140</v>
      </c>
      <c r="B245" t="s">
        <v>1475</v>
      </c>
    </row>
    <row r="246" spans="1:2" x14ac:dyDescent="0.25">
      <c r="A246" t="s">
        <v>842</v>
      </c>
      <c r="B246" t="s">
        <v>1476</v>
      </c>
    </row>
    <row r="247" spans="1:2" x14ac:dyDescent="0.25">
      <c r="A247" t="s">
        <v>1141</v>
      </c>
      <c r="B247" t="s">
        <v>1477</v>
      </c>
    </row>
    <row r="248" spans="1:2" x14ac:dyDescent="0.25">
      <c r="A248" t="s">
        <v>843</v>
      </c>
      <c r="B248" t="s">
        <v>1478</v>
      </c>
    </row>
    <row r="249" spans="1:2" x14ac:dyDescent="0.25">
      <c r="A249" t="s">
        <v>1008</v>
      </c>
      <c r="B249" t="s">
        <v>1479</v>
      </c>
    </row>
    <row r="250" spans="1:2" x14ac:dyDescent="0.25">
      <c r="A250" t="s">
        <v>844</v>
      </c>
      <c r="B250" t="s">
        <v>1480</v>
      </c>
    </row>
    <row r="251" spans="1:2" x14ac:dyDescent="0.25">
      <c r="A251" t="s">
        <v>1142</v>
      </c>
      <c r="B251" t="s">
        <v>1481</v>
      </c>
    </row>
    <row r="252" spans="1:2" x14ac:dyDescent="0.25">
      <c r="A252" t="s">
        <v>1097</v>
      </c>
      <c r="B252" t="s">
        <v>1482</v>
      </c>
    </row>
    <row r="253" spans="1:2" x14ac:dyDescent="0.25">
      <c r="A253" t="s">
        <v>1143</v>
      </c>
      <c r="B253" t="s">
        <v>1483</v>
      </c>
    </row>
    <row r="254" spans="1:2" x14ac:dyDescent="0.25">
      <c r="A254" t="s">
        <v>845</v>
      </c>
      <c r="B254" t="s">
        <v>1484</v>
      </c>
    </row>
    <row r="255" spans="1:2" x14ac:dyDescent="0.25">
      <c r="A255" t="s">
        <v>1010</v>
      </c>
      <c r="B255" t="s">
        <v>1485</v>
      </c>
    </row>
    <row r="256" spans="1:2" x14ac:dyDescent="0.25">
      <c r="A256" t="s">
        <v>1144</v>
      </c>
      <c r="B256" t="s">
        <v>1486</v>
      </c>
    </row>
    <row r="257" spans="1:2" x14ac:dyDescent="0.25">
      <c r="A257" t="s">
        <v>846</v>
      </c>
      <c r="B257" t="s">
        <v>1487</v>
      </c>
    </row>
    <row r="258" spans="1:2" x14ac:dyDescent="0.25">
      <c r="A258" t="s">
        <v>847</v>
      </c>
      <c r="B258" t="s">
        <v>1488</v>
      </c>
    </row>
    <row r="259" spans="1:2" x14ac:dyDescent="0.25">
      <c r="A259" t="s">
        <v>1145</v>
      </c>
      <c r="B259" t="s">
        <v>1489</v>
      </c>
    </row>
    <row r="260" spans="1:2" x14ac:dyDescent="0.25">
      <c r="A260" t="s">
        <v>946</v>
      </c>
      <c r="B260" t="s">
        <v>1490</v>
      </c>
    </row>
    <row r="261" spans="1:2" x14ac:dyDescent="0.25">
      <c r="A261" t="s">
        <v>848</v>
      </c>
      <c r="B261" t="s">
        <v>1491</v>
      </c>
    </row>
    <row r="262" spans="1:2" x14ac:dyDescent="0.25">
      <c r="A262" t="s">
        <v>947</v>
      </c>
      <c r="B262" t="s">
        <v>1492</v>
      </c>
    </row>
    <row r="263" spans="1:2" x14ac:dyDescent="0.25">
      <c r="A263" t="s">
        <v>849</v>
      </c>
      <c r="B263" t="s">
        <v>1493</v>
      </c>
    </row>
    <row r="264" spans="1:2" x14ac:dyDescent="0.25">
      <c r="A264" t="s">
        <v>1011</v>
      </c>
      <c r="B264" t="s">
        <v>1494</v>
      </c>
    </row>
    <row r="265" spans="1:2" x14ac:dyDescent="0.25">
      <c r="A265" t="s">
        <v>851</v>
      </c>
      <c r="B265" t="s">
        <v>1495</v>
      </c>
    </row>
    <row r="266" spans="1:2" x14ac:dyDescent="0.25">
      <c r="A266" t="s">
        <v>852</v>
      </c>
      <c r="B266" t="s">
        <v>1496</v>
      </c>
    </row>
    <row r="267" spans="1:2" x14ac:dyDescent="0.25">
      <c r="A267" t="s">
        <v>853</v>
      </c>
      <c r="B267" t="s">
        <v>1497</v>
      </c>
    </row>
    <row r="268" spans="1:2" x14ac:dyDescent="0.25">
      <c r="A268" t="s">
        <v>854</v>
      </c>
      <c r="B268" t="s">
        <v>1498</v>
      </c>
    </row>
    <row r="269" spans="1:2" x14ac:dyDescent="0.25">
      <c r="A269" t="s">
        <v>855</v>
      </c>
      <c r="B269" t="s">
        <v>1499</v>
      </c>
    </row>
    <row r="270" spans="1:2" x14ac:dyDescent="0.25">
      <c r="A270" t="s">
        <v>948</v>
      </c>
      <c r="B270" t="s">
        <v>1500</v>
      </c>
    </row>
    <row r="271" spans="1:2" x14ac:dyDescent="0.25">
      <c r="A271" t="s">
        <v>856</v>
      </c>
      <c r="B271" t="s">
        <v>1501</v>
      </c>
    </row>
    <row r="272" spans="1:2" x14ac:dyDescent="0.25">
      <c r="A272" t="s">
        <v>857</v>
      </c>
      <c r="B272" t="s">
        <v>1502</v>
      </c>
    </row>
    <row r="273" spans="1:2" x14ac:dyDescent="0.25">
      <c r="A273" t="s">
        <v>858</v>
      </c>
      <c r="B273" t="s">
        <v>1503</v>
      </c>
    </row>
    <row r="274" spans="1:2" x14ac:dyDescent="0.25">
      <c r="A274" t="s">
        <v>1012</v>
      </c>
      <c r="B274" t="s">
        <v>1504</v>
      </c>
    </row>
    <row r="275" spans="1:2" x14ac:dyDescent="0.25">
      <c r="A275" t="s">
        <v>859</v>
      </c>
      <c r="B275" t="s">
        <v>1505</v>
      </c>
    </row>
    <row r="276" spans="1:2" x14ac:dyDescent="0.25">
      <c r="A276" t="s">
        <v>860</v>
      </c>
      <c r="B276" t="s">
        <v>1506</v>
      </c>
    </row>
    <row r="277" spans="1:2" x14ac:dyDescent="0.25">
      <c r="A277" t="s">
        <v>949</v>
      </c>
      <c r="B277" t="s">
        <v>1507</v>
      </c>
    </row>
    <row r="278" spans="1:2" x14ac:dyDescent="0.25">
      <c r="A278" t="s">
        <v>950</v>
      </c>
      <c r="B278" t="s">
        <v>1508</v>
      </c>
    </row>
    <row r="279" spans="1:2" x14ac:dyDescent="0.25">
      <c r="A279" t="s">
        <v>951</v>
      </c>
      <c r="B279" t="s">
        <v>1509</v>
      </c>
    </row>
    <row r="280" spans="1:2" x14ac:dyDescent="0.25">
      <c r="A280" t="s">
        <v>952</v>
      </c>
      <c r="B280" t="s">
        <v>1510</v>
      </c>
    </row>
    <row r="281" spans="1:2" x14ac:dyDescent="0.25">
      <c r="A281" t="s">
        <v>862</v>
      </c>
      <c r="B281" t="s">
        <v>1511</v>
      </c>
    </row>
    <row r="282" spans="1:2" x14ac:dyDescent="0.25">
      <c r="A282" t="s">
        <v>863</v>
      </c>
      <c r="B282" t="s">
        <v>1512</v>
      </c>
    </row>
    <row r="283" spans="1:2" x14ac:dyDescent="0.25">
      <c r="A283" t="s">
        <v>1121</v>
      </c>
      <c r="B283" t="s">
        <v>1513</v>
      </c>
    </row>
    <row r="284" spans="1:2" x14ac:dyDescent="0.25">
      <c r="A284" t="s">
        <v>1098</v>
      </c>
      <c r="B284" t="s">
        <v>1514</v>
      </c>
    </row>
    <row r="285" spans="1:2" x14ac:dyDescent="0.25">
      <c r="A285" t="s">
        <v>1099</v>
      </c>
      <c r="B285" t="s">
        <v>1515</v>
      </c>
    </row>
    <row r="286" spans="1:2" x14ac:dyDescent="0.25">
      <c r="A286" t="s">
        <v>864</v>
      </c>
      <c r="B286" t="s">
        <v>1516</v>
      </c>
    </row>
    <row r="287" spans="1:2" x14ac:dyDescent="0.25">
      <c r="A287" t="s">
        <v>1013</v>
      </c>
      <c r="B287" t="s">
        <v>1517</v>
      </c>
    </row>
    <row r="288" spans="1:2" x14ac:dyDescent="0.25">
      <c r="A288" t="s">
        <v>953</v>
      </c>
      <c r="B288" t="s">
        <v>1518</v>
      </c>
    </row>
    <row r="289" spans="1:2" x14ac:dyDescent="0.25">
      <c r="A289" t="s">
        <v>954</v>
      </c>
      <c r="B289" t="s">
        <v>1519</v>
      </c>
    </row>
    <row r="290" spans="1:2" x14ac:dyDescent="0.25">
      <c r="A290" t="s">
        <v>865</v>
      </c>
      <c r="B290" t="s">
        <v>1520</v>
      </c>
    </row>
    <row r="291" spans="1:2" x14ac:dyDescent="0.25">
      <c r="A291" t="s">
        <v>1014</v>
      </c>
      <c r="B291" t="s">
        <v>1521</v>
      </c>
    </row>
    <row r="292" spans="1:2" x14ac:dyDescent="0.25">
      <c r="A292" t="s">
        <v>955</v>
      </c>
      <c r="B292" t="s">
        <v>1522</v>
      </c>
    </row>
    <row r="293" spans="1:2" x14ac:dyDescent="0.25">
      <c r="A293" t="s">
        <v>1146</v>
      </c>
      <c r="B293" t="s">
        <v>1523</v>
      </c>
    </row>
    <row r="294" spans="1:2" x14ac:dyDescent="0.25">
      <c r="A294" t="s">
        <v>956</v>
      </c>
      <c r="B294" t="s">
        <v>1524</v>
      </c>
    </row>
    <row r="295" spans="1:2" x14ac:dyDescent="0.25">
      <c r="A295" t="s">
        <v>957</v>
      </c>
      <c r="B295" t="s">
        <v>1525</v>
      </c>
    </row>
    <row r="296" spans="1:2" x14ac:dyDescent="0.25">
      <c r="A296" t="s">
        <v>1100</v>
      </c>
      <c r="B296" t="s">
        <v>1526</v>
      </c>
    </row>
    <row r="297" spans="1:2" x14ac:dyDescent="0.25">
      <c r="A297" t="s">
        <v>866</v>
      </c>
      <c r="B297" t="s">
        <v>1527</v>
      </c>
    </row>
    <row r="298" spans="1:2" x14ac:dyDescent="0.25">
      <c r="A298" t="s">
        <v>1044</v>
      </c>
      <c r="B298" t="s">
        <v>1528</v>
      </c>
    </row>
    <row r="299" spans="1:2" x14ac:dyDescent="0.25">
      <c r="A299" t="s">
        <v>867</v>
      </c>
      <c r="B299" t="s">
        <v>1529</v>
      </c>
    </row>
    <row r="300" spans="1:2" x14ac:dyDescent="0.25">
      <c r="A300" t="s">
        <v>868</v>
      </c>
      <c r="B300" t="s">
        <v>1530</v>
      </c>
    </row>
    <row r="301" spans="1:2" x14ac:dyDescent="0.25">
      <c r="A301" t="s">
        <v>869</v>
      </c>
      <c r="B301" t="s">
        <v>1531</v>
      </c>
    </row>
    <row r="302" spans="1:2" x14ac:dyDescent="0.25">
      <c r="A302" t="s">
        <v>1147</v>
      </c>
      <c r="B302" t="s">
        <v>1532</v>
      </c>
    </row>
    <row r="303" spans="1:2" x14ac:dyDescent="0.25">
      <c r="A303" t="s">
        <v>1015</v>
      </c>
      <c r="B303" t="s">
        <v>1533</v>
      </c>
    </row>
    <row r="304" spans="1:2" x14ac:dyDescent="0.25">
      <c r="A304" t="s">
        <v>871</v>
      </c>
      <c r="B304" t="s">
        <v>1534</v>
      </c>
    </row>
    <row r="305" spans="1:2" x14ac:dyDescent="0.25">
      <c r="A305" t="s">
        <v>958</v>
      </c>
      <c r="B305" t="s">
        <v>1535</v>
      </c>
    </row>
    <row r="306" spans="1:2" x14ac:dyDescent="0.25">
      <c r="A306" t="s">
        <v>1101</v>
      </c>
      <c r="B306" t="s">
        <v>1536</v>
      </c>
    </row>
    <row r="307" spans="1:2" x14ac:dyDescent="0.25">
      <c r="A307" t="s">
        <v>1016</v>
      </c>
      <c r="B307" t="s">
        <v>1537</v>
      </c>
    </row>
    <row r="308" spans="1:2" x14ac:dyDescent="0.25">
      <c r="A308" t="s">
        <v>1045</v>
      </c>
      <c r="B308" t="s">
        <v>1538</v>
      </c>
    </row>
    <row r="309" spans="1:2" x14ac:dyDescent="0.25">
      <c r="A309" t="s">
        <v>1102</v>
      </c>
      <c r="B309" t="s">
        <v>1539</v>
      </c>
    </row>
    <row r="310" spans="1:2" x14ac:dyDescent="0.25">
      <c r="A310" t="s">
        <v>872</v>
      </c>
      <c r="B310" t="s">
        <v>1540</v>
      </c>
    </row>
    <row r="311" spans="1:2" x14ac:dyDescent="0.25">
      <c r="A311" t="s">
        <v>873</v>
      </c>
      <c r="B311" t="s">
        <v>1541</v>
      </c>
    </row>
    <row r="312" spans="1:2" x14ac:dyDescent="0.25">
      <c r="A312" t="s">
        <v>1148</v>
      </c>
      <c r="B312" t="s">
        <v>1542</v>
      </c>
    </row>
    <row r="313" spans="1:2" x14ac:dyDescent="0.25">
      <c r="A313" t="s">
        <v>874</v>
      </c>
      <c r="B313" t="s">
        <v>1543</v>
      </c>
    </row>
    <row r="314" spans="1:2" x14ac:dyDescent="0.25">
      <c r="A314" t="s">
        <v>1017</v>
      </c>
      <c r="B314" t="s">
        <v>1544</v>
      </c>
    </row>
    <row r="315" spans="1:2" x14ac:dyDescent="0.25">
      <c r="A315" t="s">
        <v>875</v>
      </c>
      <c r="B315" t="s">
        <v>1545</v>
      </c>
    </row>
    <row r="316" spans="1:2" x14ac:dyDescent="0.25">
      <c r="A316" t="s">
        <v>1103</v>
      </c>
      <c r="B316" t="s">
        <v>1546</v>
      </c>
    </row>
    <row r="317" spans="1:2" x14ac:dyDescent="0.25">
      <c r="A317" t="s">
        <v>959</v>
      </c>
      <c r="B317" t="s">
        <v>1547</v>
      </c>
    </row>
    <row r="318" spans="1:2" x14ac:dyDescent="0.25">
      <c r="A318" t="s">
        <v>876</v>
      </c>
      <c r="B318" t="s">
        <v>1548</v>
      </c>
    </row>
    <row r="319" spans="1:2" x14ac:dyDescent="0.25">
      <c r="A319" t="s">
        <v>877</v>
      </c>
      <c r="B319" t="s">
        <v>1549</v>
      </c>
    </row>
    <row r="320" spans="1:2" x14ac:dyDescent="0.25">
      <c r="A320" t="s">
        <v>878</v>
      </c>
      <c r="B320" t="s">
        <v>1550</v>
      </c>
    </row>
    <row r="321" spans="1:2" x14ac:dyDescent="0.25">
      <c r="A321" t="s">
        <v>1104</v>
      </c>
      <c r="B321" t="s">
        <v>1551</v>
      </c>
    </row>
    <row r="322" spans="1:2" x14ac:dyDescent="0.25">
      <c r="A322" t="s">
        <v>1018</v>
      </c>
      <c r="B322" t="s">
        <v>1552</v>
      </c>
    </row>
    <row r="323" spans="1:2" x14ac:dyDescent="0.25">
      <c r="A323" t="s">
        <v>961</v>
      </c>
      <c r="B323" t="s">
        <v>1553</v>
      </c>
    </row>
    <row r="324" spans="1:2" x14ac:dyDescent="0.25">
      <c r="A324" t="s">
        <v>962</v>
      </c>
      <c r="B324" t="s">
        <v>1554</v>
      </c>
    </row>
    <row r="325" spans="1:2" x14ac:dyDescent="0.25">
      <c r="A325" t="s">
        <v>1046</v>
      </c>
      <c r="B325" t="s">
        <v>1555</v>
      </c>
    </row>
    <row r="326" spans="1:2" x14ac:dyDescent="0.25">
      <c r="A326" t="s">
        <v>879</v>
      </c>
      <c r="B326" t="s">
        <v>1556</v>
      </c>
    </row>
    <row r="327" spans="1:2" x14ac:dyDescent="0.25">
      <c r="A327" t="s">
        <v>1057</v>
      </c>
      <c r="B327" t="s">
        <v>1557</v>
      </c>
    </row>
    <row r="328" spans="1:2" x14ac:dyDescent="0.25">
      <c r="A328" t="s">
        <v>880</v>
      </c>
      <c r="B328" t="s">
        <v>1558</v>
      </c>
    </row>
    <row r="329" spans="1:2" x14ac:dyDescent="0.25">
      <c r="A329" t="s">
        <v>963</v>
      </c>
      <c r="B329" t="s">
        <v>1559</v>
      </c>
    </row>
    <row r="330" spans="1:2" x14ac:dyDescent="0.25">
      <c r="A330" t="s">
        <v>1019</v>
      </c>
      <c r="B330" t="s">
        <v>1560</v>
      </c>
    </row>
    <row r="331" spans="1:2" x14ac:dyDescent="0.25">
      <c r="A331" t="s">
        <v>1020</v>
      </c>
      <c r="B331" t="s">
        <v>1561</v>
      </c>
    </row>
    <row r="332" spans="1:2" x14ac:dyDescent="0.25">
      <c r="A332" t="s">
        <v>881</v>
      </c>
      <c r="B332" t="s">
        <v>1562</v>
      </c>
    </row>
    <row r="333" spans="1:2" x14ac:dyDescent="0.25">
      <c r="A333" t="s">
        <v>1122</v>
      </c>
      <c r="B333" t="s">
        <v>1563</v>
      </c>
    </row>
    <row r="334" spans="1:2" x14ac:dyDescent="0.25">
      <c r="A334" t="s">
        <v>1021</v>
      </c>
      <c r="B334" t="s">
        <v>1564</v>
      </c>
    </row>
    <row r="335" spans="1:2" x14ac:dyDescent="0.25">
      <c r="A335" t="s">
        <v>964</v>
      </c>
      <c r="B335" t="s">
        <v>1565</v>
      </c>
    </row>
    <row r="336" spans="1:2" x14ac:dyDescent="0.25">
      <c r="A336" t="s">
        <v>1150</v>
      </c>
      <c r="B336" t="s">
        <v>1566</v>
      </c>
    </row>
    <row r="337" spans="1:2" x14ac:dyDescent="0.25">
      <c r="A337" t="s">
        <v>1151</v>
      </c>
      <c r="B337" t="s">
        <v>1567</v>
      </c>
    </row>
    <row r="338" spans="1:2" x14ac:dyDescent="0.25">
      <c r="A338" t="s">
        <v>1022</v>
      </c>
      <c r="B338" t="s">
        <v>1568</v>
      </c>
    </row>
    <row r="339" spans="1:2" x14ac:dyDescent="0.25">
      <c r="A339" t="s">
        <v>1023</v>
      </c>
      <c r="B339" t="s">
        <v>1569</v>
      </c>
    </row>
    <row r="340" spans="1:2" x14ac:dyDescent="0.25">
      <c r="A340" t="s">
        <v>1123</v>
      </c>
      <c r="B340" t="s">
        <v>1570</v>
      </c>
    </row>
    <row r="341" spans="1:2" x14ac:dyDescent="0.25">
      <c r="A341" t="s">
        <v>1124</v>
      </c>
      <c r="B341" t="s">
        <v>1571</v>
      </c>
    </row>
    <row r="342" spans="1:2" x14ac:dyDescent="0.25">
      <c r="A342" t="s">
        <v>965</v>
      </c>
      <c r="B342" t="s">
        <v>1572</v>
      </c>
    </row>
    <row r="343" spans="1:2" x14ac:dyDescent="0.25">
      <c r="A343" t="s">
        <v>966</v>
      </c>
      <c r="B343" t="s">
        <v>1573</v>
      </c>
    </row>
    <row r="344" spans="1:2" x14ac:dyDescent="0.25">
      <c r="A344" t="s">
        <v>1058</v>
      </c>
      <c r="B344" t="s">
        <v>1574</v>
      </c>
    </row>
    <row r="345" spans="1:2" x14ac:dyDescent="0.25">
      <c r="A345" t="s">
        <v>882</v>
      </c>
      <c r="B345" t="s">
        <v>1575</v>
      </c>
    </row>
    <row r="346" spans="1:2" x14ac:dyDescent="0.25">
      <c r="A346" t="s">
        <v>883</v>
      </c>
      <c r="B346" t="s">
        <v>1576</v>
      </c>
    </row>
    <row r="347" spans="1:2" x14ac:dyDescent="0.25">
      <c r="A347" t="s">
        <v>1125</v>
      </c>
      <c r="B347" t="s">
        <v>1577</v>
      </c>
    </row>
    <row r="348" spans="1:2" x14ac:dyDescent="0.25">
      <c r="A348" t="s">
        <v>884</v>
      </c>
      <c r="B348" t="s">
        <v>1578</v>
      </c>
    </row>
    <row r="349" spans="1:2" x14ac:dyDescent="0.25">
      <c r="A349" t="s">
        <v>1105</v>
      </c>
      <c r="B349" t="s">
        <v>1579</v>
      </c>
    </row>
    <row r="350" spans="1:2" x14ac:dyDescent="0.25">
      <c r="A350" t="s">
        <v>1152</v>
      </c>
      <c r="B350" t="s">
        <v>1580</v>
      </c>
    </row>
    <row r="351" spans="1:2" x14ac:dyDescent="0.25">
      <c r="A351" t="s">
        <v>885</v>
      </c>
      <c r="B351" t="s">
        <v>1581</v>
      </c>
    </row>
    <row r="352" spans="1:2" x14ac:dyDescent="0.25">
      <c r="A352" t="s">
        <v>886</v>
      </c>
      <c r="B352" t="s">
        <v>1582</v>
      </c>
    </row>
    <row r="353" spans="1:2" x14ac:dyDescent="0.25">
      <c r="A353" t="s">
        <v>1153</v>
      </c>
      <c r="B353" t="s">
        <v>1583</v>
      </c>
    </row>
    <row r="354" spans="1:2" x14ac:dyDescent="0.25">
      <c r="A354" t="s">
        <v>967</v>
      </c>
      <c r="B354" t="s">
        <v>1584</v>
      </c>
    </row>
    <row r="355" spans="1:2" x14ac:dyDescent="0.25">
      <c r="A355" t="s">
        <v>1024</v>
      </c>
      <c r="B355" t="s">
        <v>1585</v>
      </c>
    </row>
    <row r="356" spans="1:2" x14ac:dyDescent="0.25">
      <c r="A356" t="s">
        <v>887</v>
      </c>
      <c r="B356" t="s">
        <v>1586</v>
      </c>
    </row>
    <row r="357" spans="1:2" x14ac:dyDescent="0.25">
      <c r="A357" t="s">
        <v>1047</v>
      </c>
      <c r="B357" t="s">
        <v>1587</v>
      </c>
    </row>
    <row r="358" spans="1:2" x14ac:dyDescent="0.25">
      <c r="A358" t="s">
        <v>888</v>
      </c>
      <c r="B358" t="s">
        <v>1588</v>
      </c>
    </row>
    <row r="359" spans="1:2" x14ac:dyDescent="0.25">
      <c r="A359" t="s">
        <v>1106</v>
      </c>
      <c r="B359" t="s">
        <v>1589</v>
      </c>
    </row>
    <row r="360" spans="1:2" x14ac:dyDescent="0.25">
      <c r="A360" t="s">
        <v>968</v>
      </c>
      <c r="B360" t="s">
        <v>1590</v>
      </c>
    </row>
    <row r="361" spans="1:2" x14ac:dyDescent="0.25">
      <c r="A361" t="s">
        <v>889</v>
      </c>
      <c r="B361" t="s">
        <v>1591</v>
      </c>
    </row>
    <row r="362" spans="1:2" x14ac:dyDescent="0.25">
      <c r="A362" t="s">
        <v>1025</v>
      </c>
      <c r="B362" t="s">
        <v>1592</v>
      </c>
    </row>
    <row r="363" spans="1:2" x14ac:dyDescent="0.25">
      <c r="A363" t="s">
        <v>1026</v>
      </c>
      <c r="B363" t="s">
        <v>1593</v>
      </c>
    </row>
    <row r="364" spans="1:2" x14ac:dyDescent="0.25">
      <c r="A364" t="s">
        <v>890</v>
      </c>
      <c r="B364" t="s">
        <v>1594</v>
      </c>
    </row>
    <row r="365" spans="1:2" x14ac:dyDescent="0.25">
      <c r="A365" t="s">
        <v>969</v>
      </c>
      <c r="B365" t="s">
        <v>1595</v>
      </c>
    </row>
    <row r="366" spans="1:2" x14ac:dyDescent="0.25">
      <c r="A366" t="s">
        <v>891</v>
      </c>
      <c r="B366" t="s">
        <v>1596</v>
      </c>
    </row>
    <row r="367" spans="1:2" x14ac:dyDescent="0.25">
      <c r="A367" t="s">
        <v>892</v>
      </c>
      <c r="B367" t="s">
        <v>1597</v>
      </c>
    </row>
    <row r="368" spans="1:2" x14ac:dyDescent="0.25">
      <c r="A368" t="s">
        <v>1027</v>
      </c>
      <c r="B368" t="s">
        <v>1598</v>
      </c>
    </row>
    <row r="369" spans="1:2" x14ac:dyDescent="0.25">
      <c r="A369" t="s">
        <v>893</v>
      </c>
      <c r="B369" t="s">
        <v>1599</v>
      </c>
    </row>
    <row r="370" spans="1:2" x14ac:dyDescent="0.25">
      <c r="A370" t="s">
        <v>1107</v>
      </c>
      <c r="B370" t="s">
        <v>1600</v>
      </c>
    </row>
    <row r="371" spans="1:2" x14ac:dyDescent="0.25">
      <c r="A371" t="s">
        <v>894</v>
      </c>
      <c r="B371" t="s">
        <v>1601</v>
      </c>
    </row>
    <row r="372" spans="1:2" x14ac:dyDescent="0.25">
      <c r="A372" t="s">
        <v>1108</v>
      </c>
      <c r="B372" t="s">
        <v>1602</v>
      </c>
    </row>
    <row r="373" spans="1:2" x14ac:dyDescent="0.25">
      <c r="A373" t="s">
        <v>1029</v>
      </c>
      <c r="B373" t="s">
        <v>1603</v>
      </c>
    </row>
    <row r="374" spans="1:2" x14ac:dyDescent="0.25">
      <c r="A374" t="s">
        <v>1154</v>
      </c>
      <c r="B374" t="s">
        <v>1604</v>
      </c>
    </row>
    <row r="375" spans="1:2" x14ac:dyDescent="0.25">
      <c r="A375" t="s">
        <v>1155</v>
      </c>
      <c r="B375" t="s">
        <v>1605</v>
      </c>
    </row>
    <row r="376" spans="1:2" x14ac:dyDescent="0.25">
      <c r="A376" t="s">
        <v>1030</v>
      </c>
      <c r="B376" t="s">
        <v>1606</v>
      </c>
    </row>
    <row r="377" spans="1:2" x14ac:dyDescent="0.25">
      <c r="A377" t="s">
        <v>1031</v>
      </c>
      <c r="B377" t="s">
        <v>1607</v>
      </c>
    </row>
    <row r="378" spans="1:2" x14ac:dyDescent="0.25">
      <c r="A378" t="s">
        <v>970</v>
      </c>
      <c r="B378" t="s">
        <v>1608</v>
      </c>
    </row>
    <row r="379" spans="1:2" x14ac:dyDescent="0.25">
      <c r="A379" t="s">
        <v>1032</v>
      </c>
      <c r="B379" t="s">
        <v>1609</v>
      </c>
    </row>
    <row r="380" spans="1:2" x14ac:dyDescent="0.25">
      <c r="A380" t="s">
        <v>971</v>
      </c>
      <c r="B380" t="s">
        <v>1610</v>
      </c>
    </row>
    <row r="381" spans="1:2" x14ac:dyDescent="0.25">
      <c r="A381" t="s">
        <v>1109</v>
      </c>
      <c r="B381" t="s">
        <v>1611</v>
      </c>
    </row>
    <row r="382" spans="1:2" x14ac:dyDescent="0.25">
      <c r="A382" t="s">
        <v>1126</v>
      </c>
      <c r="B382" t="s">
        <v>1612</v>
      </c>
    </row>
    <row r="383" spans="1:2" x14ac:dyDescent="0.25">
      <c r="A383" t="s">
        <v>1033</v>
      </c>
      <c r="B383" t="s">
        <v>1613</v>
      </c>
    </row>
    <row r="384" spans="1:2" x14ac:dyDescent="0.25">
      <c r="A384" t="s">
        <v>1034</v>
      </c>
      <c r="B384" t="s">
        <v>1614</v>
      </c>
    </row>
    <row r="385" spans="1:2" x14ac:dyDescent="0.25">
      <c r="A385" t="s">
        <v>1110</v>
      </c>
      <c r="B385" t="s">
        <v>1615</v>
      </c>
    </row>
    <row r="386" spans="1:2" x14ac:dyDescent="0.25">
      <c r="A386" t="s">
        <v>1111</v>
      </c>
      <c r="B386" t="s">
        <v>1616</v>
      </c>
    </row>
    <row r="387" spans="1:2" x14ac:dyDescent="0.25">
      <c r="A387" t="s">
        <v>972</v>
      </c>
      <c r="B387" t="s">
        <v>1617</v>
      </c>
    </row>
    <row r="388" spans="1:2" x14ac:dyDescent="0.25">
      <c r="A388" t="s">
        <v>973</v>
      </c>
      <c r="B388" t="s">
        <v>1618</v>
      </c>
    </row>
    <row r="389" spans="1:2" x14ac:dyDescent="0.25">
      <c r="A389" t="s">
        <v>1048</v>
      </c>
      <c r="B389" t="s">
        <v>1619</v>
      </c>
    </row>
    <row r="390" spans="1:2" x14ac:dyDescent="0.25">
      <c r="A390" t="s">
        <v>895</v>
      </c>
      <c r="B390" t="s">
        <v>1620</v>
      </c>
    </row>
    <row r="391" spans="1:2" x14ac:dyDescent="0.25">
      <c r="A391" t="s">
        <v>896</v>
      </c>
      <c r="B391" t="s">
        <v>1621</v>
      </c>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C180D-7F49-44B6-BFC6-45FEC3557551}">
  <sheetPr codeName="Sheet11"/>
  <dimension ref="A2:C392"/>
  <sheetViews>
    <sheetView topLeftCell="A365" workbookViewId="0">
      <selection activeCell="B2" sqref="B2:C392"/>
    </sheetView>
  </sheetViews>
  <sheetFormatPr defaultRowHeight="15" x14ac:dyDescent="0.25"/>
  <cols>
    <col min="3" max="3" width="156.85546875" customWidth="1"/>
  </cols>
  <sheetData>
    <row r="2" spans="1:3" ht="12.75" customHeight="1" x14ac:dyDescent="0.25">
      <c r="A2" t="s">
        <v>0</v>
      </c>
      <c r="B2" t="str">
        <f>SUBSTITUTE(A2,".md","")</f>
        <v>Acid Splash</v>
      </c>
      <c r="C2" s="1" t="s">
        <v>1234</v>
      </c>
    </row>
    <row r="3" spans="1:3" ht="12.75" customHeight="1" x14ac:dyDescent="0.25">
      <c r="A3" t="s">
        <v>1</v>
      </c>
      <c r="B3" t="str">
        <f t="shared" ref="B3:B66" si="0">SUBSTITUTE(A3,".md","")</f>
        <v>Aid</v>
      </c>
      <c r="C3" s="1" t="s">
        <v>1235</v>
      </c>
    </row>
    <row r="4" spans="1:3" ht="12.75" customHeight="1" x14ac:dyDescent="0.25">
      <c r="A4" t="s">
        <v>2</v>
      </c>
      <c r="B4" t="str">
        <f t="shared" si="0"/>
        <v>Alarm</v>
      </c>
      <c r="C4" s="1" t="s">
        <v>1236</v>
      </c>
    </row>
    <row r="5" spans="1:3" ht="12.75" customHeight="1" x14ac:dyDescent="0.25">
      <c r="A5" t="s">
        <v>3</v>
      </c>
      <c r="B5" t="str">
        <f t="shared" si="0"/>
        <v>Alter Self</v>
      </c>
      <c r="C5" s="1" t="s">
        <v>1237</v>
      </c>
    </row>
    <row r="6" spans="1:3" ht="12.75" customHeight="1" x14ac:dyDescent="0.25">
      <c r="A6" t="s">
        <v>4</v>
      </c>
      <c r="B6" t="str">
        <f t="shared" si="0"/>
        <v>Animal Friendship</v>
      </c>
      <c r="C6" s="1" t="s">
        <v>1238</v>
      </c>
    </row>
    <row r="7" spans="1:3" ht="12.75" customHeight="1" x14ac:dyDescent="0.25">
      <c r="A7" t="s">
        <v>5</v>
      </c>
      <c r="B7" t="str">
        <f t="shared" si="0"/>
        <v>Animal Messenger</v>
      </c>
      <c r="C7" s="1" t="s">
        <v>1239</v>
      </c>
    </row>
    <row r="8" spans="1:3" ht="12.75" customHeight="1" x14ac:dyDescent="0.25">
      <c r="A8" t="s">
        <v>6</v>
      </c>
      <c r="B8" t="str">
        <f t="shared" si="0"/>
        <v>Animal Shapes</v>
      </c>
      <c r="C8" s="1" t="s">
        <v>1240</v>
      </c>
    </row>
    <row r="9" spans="1:3" ht="12.75" customHeight="1" x14ac:dyDescent="0.25">
      <c r="A9" t="s">
        <v>7</v>
      </c>
      <c r="B9" t="str">
        <f t="shared" si="0"/>
        <v>Animate Dead</v>
      </c>
      <c r="C9" s="1" t="s">
        <v>1241</v>
      </c>
    </row>
    <row r="10" spans="1:3" ht="12.75" customHeight="1" x14ac:dyDescent="0.25">
      <c r="A10" t="s">
        <v>8</v>
      </c>
      <c r="B10" t="str">
        <f t="shared" si="0"/>
        <v>Animate Objects</v>
      </c>
      <c r="C10" s="1" t="s">
        <v>1242</v>
      </c>
    </row>
    <row r="11" spans="1:3" ht="12.75" customHeight="1" x14ac:dyDescent="0.25">
      <c r="A11" t="s">
        <v>9</v>
      </c>
      <c r="B11" t="str">
        <f t="shared" si="0"/>
        <v>Antilife Shell</v>
      </c>
      <c r="C11" s="1" t="s">
        <v>1243</v>
      </c>
    </row>
    <row r="12" spans="1:3" ht="12.75" customHeight="1" x14ac:dyDescent="0.25">
      <c r="A12" t="s">
        <v>10</v>
      </c>
      <c r="B12" t="str">
        <f t="shared" si="0"/>
        <v>Antimagic Field</v>
      </c>
      <c r="C12" s="1" t="s">
        <v>1244</v>
      </c>
    </row>
    <row r="13" spans="1:3" ht="12.75" customHeight="1" x14ac:dyDescent="0.25">
      <c r="A13" t="s">
        <v>11</v>
      </c>
      <c r="B13" t="str">
        <f t="shared" si="0"/>
        <v>Antipathy Sympathy</v>
      </c>
      <c r="C13" s="1" t="s">
        <v>1245</v>
      </c>
    </row>
    <row r="14" spans="1:3" ht="12.75" customHeight="1" x14ac:dyDescent="0.25">
      <c r="A14" t="s">
        <v>12</v>
      </c>
      <c r="B14" t="str">
        <f t="shared" si="0"/>
        <v>Arcane Eye</v>
      </c>
      <c r="C14" s="1" t="s">
        <v>1246</v>
      </c>
    </row>
    <row r="15" spans="1:3" ht="12.75" customHeight="1" x14ac:dyDescent="0.25">
      <c r="A15" t="s">
        <v>13</v>
      </c>
      <c r="B15" t="str">
        <f t="shared" si="0"/>
        <v>Arcane Gate</v>
      </c>
      <c r="C15" s="1" t="s">
        <v>1247</v>
      </c>
    </row>
    <row r="16" spans="1:3" ht="12.75" customHeight="1" x14ac:dyDescent="0.25">
      <c r="A16" t="s">
        <v>14</v>
      </c>
      <c r="B16" t="str">
        <f t="shared" si="0"/>
        <v>Arcane Lock</v>
      </c>
      <c r="C16" s="1" t="s">
        <v>1248</v>
      </c>
    </row>
    <row r="17" spans="1:3" ht="12.75" customHeight="1" x14ac:dyDescent="0.25">
      <c r="A17" t="s">
        <v>15</v>
      </c>
      <c r="B17" t="str">
        <f t="shared" si="0"/>
        <v>Arcane Vigor</v>
      </c>
      <c r="C17" s="1" t="s">
        <v>1249</v>
      </c>
    </row>
    <row r="18" spans="1:3" ht="12.75" customHeight="1" x14ac:dyDescent="0.25">
      <c r="A18" t="s">
        <v>16</v>
      </c>
      <c r="B18" t="str">
        <f t="shared" si="0"/>
        <v>Armor of Agathys</v>
      </c>
      <c r="C18" s="1" t="s">
        <v>1250</v>
      </c>
    </row>
    <row r="19" spans="1:3" ht="12.75" customHeight="1" x14ac:dyDescent="0.25">
      <c r="A19" t="s">
        <v>17</v>
      </c>
      <c r="B19" t="str">
        <f t="shared" si="0"/>
        <v>Arms of Hadar</v>
      </c>
      <c r="C19" s="1" t="s">
        <v>1251</v>
      </c>
    </row>
    <row r="20" spans="1:3" ht="12.75" customHeight="1" x14ac:dyDescent="0.25">
      <c r="A20" t="s">
        <v>18</v>
      </c>
      <c r="B20" t="str">
        <f t="shared" si="0"/>
        <v>Astral Projection</v>
      </c>
      <c r="C20" s="1" t="s">
        <v>1252</v>
      </c>
    </row>
    <row r="21" spans="1:3" ht="12.75" customHeight="1" x14ac:dyDescent="0.25">
      <c r="A21" t="s">
        <v>19</v>
      </c>
      <c r="B21" t="str">
        <f t="shared" si="0"/>
        <v>Augury</v>
      </c>
      <c r="C21" s="1" t="s">
        <v>1253</v>
      </c>
    </row>
    <row r="22" spans="1:3" ht="12.75" customHeight="1" x14ac:dyDescent="0.25">
      <c r="A22" t="s">
        <v>20</v>
      </c>
      <c r="B22" t="str">
        <f t="shared" si="0"/>
        <v>Aura of Life</v>
      </c>
      <c r="C22" s="1" t="s">
        <v>1254</v>
      </c>
    </row>
    <row r="23" spans="1:3" ht="12.75" customHeight="1" x14ac:dyDescent="0.25">
      <c r="A23" t="s">
        <v>21</v>
      </c>
      <c r="B23" t="str">
        <f t="shared" si="0"/>
        <v>Aura of Purity</v>
      </c>
      <c r="C23" s="1" t="s">
        <v>1255</v>
      </c>
    </row>
    <row r="24" spans="1:3" ht="12.75" customHeight="1" x14ac:dyDescent="0.25">
      <c r="A24" t="s">
        <v>22</v>
      </c>
      <c r="B24" t="str">
        <f t="shared" si="0"/>
        <v>Aura of Vitality</v>
      </c>
      <c r="C24" s="1" t="s">
        <v>1256</v>
      </c>
    </row>
    <row r="25" spans="1:3" ht="12.75" customHeight="1" x14ac:dyDescent="0.25">
      <c r="A25" t="s">
        <v>23</v>
      </c>
      <c r="B25" t="str">
        <f t="shared" si="0"/>
        <v>Awaken</v>
      </c>
      <c r="C25" s="1" t="s">
        <v>1257</v>
      </c>
    </row>
    <row r="26" spans="1:3" ht="12.75" customHeight="1" x14ac:dyDescent="0.25">
      <c r="A26" t="s">
        <v>24</v>
      </c>
      <c r="B26" t="str">
        <f t="shared" si="0"/>
        <v>Bane</v>
      </c>
      <c r="C26" s="1" t="s">
        <v>1258</v>
      </c>
    </row>
    <row r="27" spans="1:3" ht="12.75" customHeight="1" x14ac:dyDescent="0.25">
      <c r="A27" t="s">
        <v>25</v>
      </c>
      <c r="B27" t="str">
        <f t="shared" si="0"/>
        <v>Banishing Smite</v>
      </c>
      <c r="C27" s="1" t="s">
        <v>1259</v>
      </c>
    </row>
    <row r="28" spans="1:3" ht="12.75" customHeight="1" x14ac:dyDescent="0.25">
      <c r="A28" t="s">
        <v>26</v>
      </c>
      <c r="B28" t="str">
        <f t="shared" si="0"/>
        <v>Banishment</v>
      </c>
      <c r="C28" s="1" t="s">
        <v>1260</v>
      </c>
    </row>
    <row r="29" spans="1:3" ht="12.75" customHeight="1" x14ac:dyDescent="0.25">
      <c r="A29" t="s">
        <v>27</v>
      </c>
      <c r="B29" t="str">
        <f t="shared" si="0"/>
        <v>Barkskin</v>
      </c>
      <c r="C29" s="1" t="s">
        <v>1261</v>
      </c>
    </row>
    <row r="30" spans="1:3" ht="12.75" customHeight="1" x14ac:dyDescent="0.25">
      <c r="A30" t="s">
        <v>28</v>
      </c>
      <c r="B30" t="str">
        <f t="shared" si="0"/>
        <v>Beacon of Hope</v>
      </c>
      <c r="C30" s="1" t="s">
        <v>1262</v>
      </c>
    </row>
    <row r="31" spans="1:3" ht="12.75" customHeight="1" x14ac:dyDescent="0.25">
      <c r="A31" t="s">
        <v>29</v>
      </c>
      <c r="B31" t="str">
        <f t="shared" si="0"/>
        <v>Beast Sense</v>
      </c>
      <c r="C31" s="1" t="s">
        <v>1263</v>
      </c>
    </row>
    <row r="32" spans="1:3" ht="12.75" customHeight="1" x14ac:dyDescent="0.25">
      <c r="A32" t="s">
        <v>30</v>
      </c>
      <c r="B32" t="str">
        <f t="shared" si="0"/>
        <v>Befuddlement</v>
      </c>
      <c r="C32" s="1" t="s">
        <v>1264</v>
      </c>
    </row>
    <row r="33" spans="1:3" ht="12.75" customHeight="1" x14ac:dyDescent="0.25">
      <c r="A33" t="s">
        <v>31</v>
      </c>
      <c r="B33" t="str">
        <f t="shared" si="0"/>
        <v>Bestow Curse</v>
      </c>
      <c r="C33" s="1" t="s">
        <v>1265</v>
      </c>
    </row>
    <row r="34" spans="1:3" ht="12.75" customHeight="1" x14ac:dyDescent="0.25">
      <c r="A34" t="s">
        <v>32</v>
      </c>
      <c r="B34" t="str">
        <f t="shared" si="0"/>
        <v>Bigby's Hand</v>
      </c>
      <c r="C34" s="1" t="s">
        <v>1266</v>
      </c>
    </row>
    <row r="35" spans="1:3" ht="12.75" customHeight="1" x14ac:dyDescent="0.25">
      <c r="A35" t="s">
        <v>33</v>
      </c>
      <c r="B35" t="str">
        <f t="shared" si="0"/>
        <v>Blade Barrier</v>
      </c>
      <c r="C35" s="1" t="s">
        <v>1267</v>
      </c>
    </row>
    <row r="36" spans="1:3" ht="12.75" customHeight="1" x14ac:dyDescent="0.25">
      <c r="A36" t="s">
        <v>34</v>
      </c>
      <c r="B36" t="str">
        <f t="shared" si="0"/>
        <v>Blade Ward</v>
      </c>
      <c r="C36" s="1" t="s">
        <v>1268</v>
      </c>
    </row>
    <row r="37" spans="1:3" ht="12.75" customHeight="1" x14ac:dyDescent="0.25">
      <c r="A37" t="s">
        <v>35</v>
      </c>
      <c r="B37" t="str">
        <f t="shared" si="0"/>
        <v>Bless</v>
      </c>
      <c r="C37" s="1" t="s">
        <v>1269</v>
      </c>
    </row>
    <row r="38" spans="1:3" ht="12.75" customHeight="1" x14ac:dyDescent="0.25">
      <c r="A38" t="s">
        <v>36</v>
      </c>
      <c r="B38" t="str">
        <f t="shared" si="0"/>
        <v>Blight</v>
      </c>
      <c r="C38" s="1" t="s">
        <v>1270</v>
      </c>
    </row>
    <row r="39" spans="1:3" ht="12.75" customHeight="1" x14ac:dyDescent="0.25">
      <c r="A39" t="s">
        <v>37</v>
      </c>
      <c r="B39" t="str">
        <f t="shared" si="0"/>
        <v>Blinding Smite</v>
      </c>
      <c r="C39" s="1" t="s">
        <v>1271</v>
      </c>
    </row>
    <row r="40" spans="1:3" ht="12.75" customHeight="1" x14ac:dyDescent="0.25">
      <c r="A40" t="s">
        <v>38</v>
      </c>
      <c r="B40" t="str">
        <f t="shared" si="0"/>
        <v>Blindness Deafness</v>
      </c>
      <c r="C40" s="1" t="s">
        <v>1272</v>
      </c>
    </row>
    <row r="41" spans="1:3" ht="12.75" customHeight="1" x14ac:dyDescent="0.25">
      <c r="A41" t="s">
        <v>39</v>
      </c>
      <c r="B41" t="str">
        <f t="shared" si="0"/>
        <v>Blink</v>
      </c>
      <c r="C41" s="1" t="s">
        <v>1273</v>
      </c>
    </row>
    <row r="42" spans="1:3" ht="12.75" customHeight="1" x14ac:dyDescent="0.25">
      <c r="A42" t="s">
        <v>40</v>
      </c>
      <c r="B42" t="str">
        <f t="shared" si="0"/>
        <v>Blur</v>
      </c>
      <c r="C42" s="1" t="s">
        <v>1274</v>
      </c>
    </row>
    <row r="43" spans="1:3" ht="12.75" customHeight="1" x14ac:dyDescent="0.25">
      <c r="A43" t="s">
        <v>41</v>
      </c>
      <c r="B43" t="str">
        <f t="shared" si="0"/>
        <v>Burning Hands</v>
      </c>
      <c r="C43" s="1" t="s">
        <v>1275</v>
      </c>
    </row>
    <row r="44" spans="1:3" ht="12.75" customHeight="1" x14ac:dyDescent="0.25">
      <c r="A44" t="s">
        <v>42</v>
      </c>
      <c r="B44" t="str">
        <f t="shared" si="0"/>
        <v>Call Lightning</v>
      </c>
      <c r="C44" s="1" t="s">
        <v>1276</v>
      </c>
    </row>
    <row r="45" spans="1:3" ht="12.75" customHeight="1" x14ac:dyDescent="0.25">
      <c r="A45" t="s">
        <v>43</v>
      </c>
      <c r="B45" t="str">
        <f t="shared" si="0"/>
        <v>Calm Emotions</v>
      </c>
      <c r="C45" s="1" t="s">
        <v>1277</v>
      </c>
    </row>
    <row r="46" spans="1:3" ht="12.75" customHeight="1" x14ac:dyDescent="0.25">
      <c r="A46" t="s">
        <v>44</v>
      </c>
      <c r="B46" t="str">
        <f t="shared" si="0"/>
        <v>Chain Lightning</v>
      </c>
      <c r="C46" s="1" t="s">
        <v>1278</v>
      </c>
    </row>
    <row r="47" spans="1:3" ht="12.75" customHeight="1" x14ac:dyDescent="0.25">
      <c r="A47" t="s">
        <v>45</v>
      </c>
      <c r="B47" t="str">
        <f t="shared" si="0"/>
        <v>Charm Monster</v>
      </c>
      <c r="C47" s="1" t="s">
        <v>1279</v>
      </c>
    </row>
    <row r="48" spans="1:3" ht="12.75" customHeight="1" x14ac:dyDescent="0.25">
      <c r="A48" t="s">
        <v>46</v>
      </c>
      <c r="B48" t="str">
        <f t="shared" si="0"/>
        <v>Charm Person</v>
      </c>
      <c r="C48" s="1" t="s">
        <v>1280</v>
      </c>
    </row>
    <row r="49" spans="1:3" ht="12.75" customHeight="1" x14ac:dyDescent="0.25">
      <c r="A49" t="s">
        <v>47</v>
      </c>
      <c r="B49" t="str">
        <f t="shared" si="0"/>
        <v>Chill Touch</v>
      </c>
      <c r="C49" s="1" t="s">
        <v>1281</v>
      </c>
    </row>
    <row r="50" spans="1:3" ht="12.75" customHeight="1" x14ac:dyDescent="0.25">
      <c r="A50" t="s">
        <v>48</v>
      </c>
      <c r="B50" t="str">
        <f t="shared" si="0"/>
        <v>Chromatic Orb</v>
      </c>
      <c r="C50" s="1" t="s">
        <v>1282</v>
      </c>
    </row>
    <row r="51" spans="1:3" ht="12.75" customHeight="1" x14ac:dyDescent="0.25">
      <c r="A51" t="s">
        <v>49</v>
      </c>
      <c r="B51" t="str">
        <f t="shared" si="0"/>
        <v>Circle of Death</v>
      </c>
      <c r="C51" s="1" t="s">
        <v>1283</v>
      </c>
    </row>
    <row r="52" spans="1:3" ht="12.75" customHeight="1" x14ac:dyDescent="0.25">
      <c r="A52" t="s">
        <v>50</v>
      </c>
      <c r="B52" t="str">
        <f t="shared" si="0"/>
        <v>Circle of Power</v>
      </c>
      <c r="C52" s="1" t="s">
        <v>1284</v>
      </c>
    </row>
    <row r="53" spans="1:3" ht="12.75" customHeight="1" x14ac:dyDescent="0.25">
      <c r="A53" t="s">
        <v>51</v>
      </c>
      <c r="B53" t="str">
        <f t="shared" si="0"/>
        <v>Clairvoyance</v>
      </c>
      <c r="C53" s="1" t="s">
        <v>1285</v>
      </c>
    </row>
    <row r="54" spans="1:3" ht="12.75" customHeight="1" x14ac:dyDescent="0.25">
      <c r="A54" t="s">
        <v>52</v>
      </c>
      <c r="B54" t="str">
        <f t="shared" si="0"/>
        <v>Clone</v>
      </c>
      <c r="C54" s="1" t="s">
        <v>1286</v>
      </c>
    </row>
    <row r="55" spans="1:3" ht="12.75" customHeight="1" x14ac:dyDescent="0.25">
      <c r="A55" t="s">
        <v>53</v>
      </c>
      <c r="B55" t="str">
        <f t="shared" si="0"/>
        <v>Cloud of Daggers</v>
      </c>
      <c r="C55" s="1" t="s">
        <v>1287</v>
      </c>
    </row>
    <row r="56" spans="1:3" ht="12.75" customHeight="1" x14ac:dyDescent="0.25">
      <c r="A56" t="s">
        <v>54</v>
      </c>
      <c r="B56" t="str">
        <f t="shared" si="0"/>
        <v>Cloudkill</v>
      </c>
      <c r="C56" s="1" t="s">
        <v>1288</v>
      </c>
    </row>
    <row r="57" spans="1:3" ht="12.75" customHeight="1" x14ac:dyDescent="0.25">
      <c r="A57" t="s">
        <v>55</v>
      </c>
      <c r="B57" t="str">
        <f t="shared" si="0"/>
        <v>Color Spray</v>
      </c>
      <c r="C57" s="1" t="s">
        <v>1289</v>
      </c>
    </row>
    <row r="58" spans="1:3" ht="12.75" customHeight="1" x14ac:dyDescent="0.25">
      <c r="A58" t="s">
        <v>56</v>
      </c>
      <c r="B58" t="str">
        <f t="shared" si="0"/>
        <v>Command</v>
      </c>
      <c r="C58" s="1" t="s">
        <v>1290</v>
      </c>
    </row>
    <row r="59" spans="1:3" ht="12.75" customHeight="1" x14ac:dyDescent="0.25">
      <c r="A59" t="s">
        <v>57</v>
      </c>
      <c r="B59" t="str">
        <f t="shared" si="0"/>
        <v>Commune with Nature</v>
      </c>
      <c r="C59" s="1" t="s">
        <v>1291</v>
      </c>
    </row>
    <row r="60" spans="1:3" ht="12.75" customHeight="1" x14ac:dyDescent="0.25">
      <c r="A60" t="s">
        <v>58</v>
      </c>
      <c r="B60" t="str">
        <f t="shared" si="0"/>
        <v>Commune</v>
      </c>
      <c r="C60" s="1" t="s">
        <v>1292</v>
      </c>
    </row>
    <row r="61" spans="1:3" ht="12.75" customHeight="1" x14ac:dyDescent="0.25">
      <c r="A61" t="s">
        <v>59</v>
      </c>
      <c r="B61" t="str">
        <f t="shared" si="0"/>
        <v>Compelled Duel</v>
      </c>
      <c r="C61" s="1" t="s">
        <v>1293</v>
      </c>
    </row>
    <row r="62" spans="1:3" ht="12.75" customHeight="1" x14ac:dyDescent="0.25">
      <c r="A62" t="s">
        <v>60</v>
      </c>
      <c r="B62" t="str">
        <f t="shared" si="0"/>
        <v>Comprehend Languages</v>
      </c>
      <c r="C62" s="1" t="s">
        <v>1294</v>
      </c>
    </row>
    <row r="63" spans="1:3" ht="12.75" customHeight="1" x14ac:dyDescent="0.25">
      <c r="A63" t="s">
        <v>61</v>
      </c>
      <c r="B63" t="str">
        <f t="shared" si="0"/>
        <v>Compulsion</v>
      </c>
      <c r="C63" s="1" t="s">
        <v>1295</v>
      </c>
    </row>
    <row r="64" spans="1:3" ht="12.75" customHeight="1" x14ac:dyDescent="0.25">
      <c r="A64" t="s">
        <v>62</v>
      </c>
      <c r="B64" t="str">
        <f t="shared" si="0"/>
        <v>Cone of Cold</v>
      </c>
      <c r="C64" s="1" t="s">
        <v>1296</v>
      </c>
    </row>
    <row r="65" spans="1:3" ht="12.75" customHeight="1" x14ac:dyDescent="0.25">
      <c r="A65" t="s">
        <v>63</v>
      </c>
      <c r="B65" t="str">
        <f t="shared" si="0"/>
        <v>Confusion</v>
      </c>
      <c r="C65" s="1" t="s">
        <v>1297</v>
      </c>
    </row>
    <row r="66" spans="1:3" ht="12.75" customHeight="1" x14ac:dyDescent="0.25">
      <c r="A66" t="s">
        <v>64</v>
      </c>
      <c r="B66" t="str">
        <f t="shared" si="0"/>
        <v>Conjure Animals</v>
      </c>
      <c r="C66" s="1" t="s">
        <v>1298</v>
      </c>
    </row>
    <row r="67" spans="1:3" ht="12.75" customHeight="1" x14ac:dyDescent="0.25">
      <c r="A67" t="s">
        <v>65</v>
      </c>
      <c r="B67" t="str">
        <f t="shared" ref="B67:B130" si="1">SUBSTITUTE(A67,".md","")</f>
        <v>Conjure Barrage</v>
      </c>
      <c r="C67" s="1" t="s">
        <v>1299</v>
      </c>
    </row>
    <row r="68" spans="1:3" ht="12.75" customHeight="1" x14ac:dyDescent="0.25">
      <c r="A68" t="s">
        <v>66</v>
      </c>
      <c r="B68" t="str">
        <f t="shared" si="1"/>
        <v>Conjure Celestial</v>
      </c>
      <c r="C68" s="1" t="s">
        <v>1300</v>
      </c>
    </row>
    <row r="69" spans="1:3" ht="12.75" customHeight="1" x14ac:dyDescent="0.25">
      <c r="A69" t="s">
        <v>67</v>
      </c>
      <c r="B69" t="str">
        <f t="shared" si="1"/>
        <v>Conjure Elemental</v>
      </c>
      <c r="C69" s="1" t="s">
        <v>1301</v>
      </c>
    </row>
    <row r="70" spans="1:3" ht="12.75" customHeight="1" x14ac:dyDescent="0.25">
      <c r="A70" t="s">
        <v>68</v>
      </c>
      <c r="B70" t="str">
        <f t="shared" si="1"/>
        <v>Conjure Fey</v>
      </c>
      <c r="C70" s="1" t="s">
        <v>1302</v>
      </c>
    </row>
    <row r="71" spans="1:3" ht="12.75" customHeight="1" x14ac:dyDescent="0.25">
      <c r="A71" t="s">
        <v>69</v>
      </c>
      <c r="B71" t="str">
        <f t="shared" si="1"/>
        <v>Conjure Minor Elementals</v>
      </c>
      <c r="C71" s="1" t="s">
        <v>1303</v>
      </c>
    </row>
    <row r="72" spans="1:3" ht="12.75" customHeight="1" x14ac:dyDescent="0.25">
      <c r="A72" t="s">
        <v>70</v>
      </c>
      <c r="B72" t="str">
        <f t="shared" si="1"/>
        <v>Conjure Volley</v>
      </c>
      <c r="C72" s="1" t="s">
        <v>1304</v>
      </c>
    </row>
    <row r="73" spans="1:3" ht="12.75" customHeight="1" x14ac:dyDescent="0.25">
      <c r="A73" t="s">
        <v>71</v>
      </c>
      <c r="B73" t="str">
        <f t="shared" si="1"/>
        <v>Conjure Woodland Beings</v>
      </c>
      <c r="C73" s="1" t="s">
        <v>1305</v>
      </c>
    </row>
    <row r="74" spans="1:3" ht="12.75" customHeight="1" x14ac:dyDescent="0.25">
      <c r="A74" t="s">
        <v>72</v>
      </c>
      <c r="B74" t="str">
        <f t="shared" si="1"/>
        <v>Contact Other Plane</v>
      </c>
      <c r="C74" s="1" t="s">
        <v>1306</v>
      </c>
    </row>
    <row r="75" spans="1:3" ht="12.75" customHeight="1" x14ac:dyDescent="0.25">
      <c r="A75" t="s">
        <v>73</v>
      </c>
      <c r="B75" t="str">
        <f t="shared" si="1"/>
        <v>Contagion</v>
      </c>
      <c r="C75" s="1" t="s">
        <v>1307</v>
      </c>
    </row>
    <row r="76" spans="1:3" ht="12.75" customHeight="1" x14ac:dyDescent="0.25">
      <c r="A76" t="s">
        <v>74</v>
      </c>
      <c r="B76" t="str">
        <f t="shared" si="1"/>
        <v>Contingency</v>
      </c>
      <c r="C76" s="1" t="s">
        <v>1308</v>
      </c>
    </row>
    <row r="77" spans="1:3" ht="12.75" customHeight="1" x14ac:dyDescent="0.25">
      <c r="A77" t="s">
        <v>75</v>
      </c>
      <c r="B77" t="str">
        <f t="shared" si="1"/>
        <v>Continual Flame</v>
      </c>
      <c r="C77" s="1" t="s">
        <v>1309</v>
      </c>
    </row>
    <row r="78" spans="1:3" ht="12.75" customHeight="1" x14ac:dyDescent="0.25">
      <c r="A78" t="s">
        <v>76</v>
      </c>
      <c r="B78" t="str">
        <f t="shared" si="1"/>
        <v>Control Water</v>
      </c>
      <c r="C78" s="1" t="s">
        <v>1310</v>
      </c>
    </row>
    <row r="79" spans="1:3" ht="12.75" customHeight="1" x14ac:dyDescent="0.25">
      <c r="A79" t="s">
        <v>77</v>
      </c>
      <c r="B79" t="str">
        <f t="shared" si="1"/>
        <v>Control Weather</v>
      </c>
      <c r="C79" s="1" t="s">
        <v>1311</v>
      </c>
    </row>
    <row r="80" spans="1:3" ht="12.75" customHeight="1" x14ac:dyDescent="0.25">
      <c r="A80" t="s">
        <v>78</v>
      </c>
      <c r="B80" t="str">
        <f t="shared" si="1"/>
        <v>Cordon of Arrows</v>
      </c>
      <c r="C80" s="1" t="s">
        <v>1312</v>
      </c>
    </row>
    <row r="81" spans="1:3" ht="12.75" customHeight="1" x14ac:dyDescent="0.25">
      <c r="A81" t="s">
        <v>79</v>
      </c>
      <c r="B81" t="str">
        <f t="shared" si="1"/>
        <v>Counterspell</v>
      </c>
      <c r="C81" s="1" t="s">
        <v>1313</v>
      </c>
    </row>
    <row r="82" spans="1:3" ht="12.75" customHeight="1" x14ac:dyDescent="0.25">
      <c r="A82" t="s">
        <v>80</v>
      </c>
      <c r="B82" t="str">
        <f t="shared" si="1"/>
        <v>Create Food and Water</v>
      </c>
      <c r="C82" s="1" t="s">
        <v>1314</v>
      </c>
    </row>
    <row r="83" spans="1:3" ht="12.75" customHeight="1" x14ac:dyDescent="0.25">
      <c r="A83" t="s">
        <v>81</v>
      </c>
      <c r="B83" t="str">
        <f t="shared" si="1"/>
        <v>Create or Destroy Water</v>
      </c>
      <c r="C83" s="1" t="s">
        <v>1315</v>
      </c>
    </row>
    <row r="84" spans="1:3" ht="12.75" customHeight="1" x14ac:dyDescent="0.25">
      <c r="A84" t="s">
        <v>83</v>
      </c>
      <c r="B84" t="str">
        <f t="shared" si="1"/>
        <v>Create Undead</v>
      </c>
      <c r="C84" s="1" t="s">
        <v>1316</v>
      </c>
    </row>
    <row r="85" spans="1:3" ht="12.75" customHeight="1" x14ac:dyDescent="0.25">
      <c r="A85" t="s">
        <v>85</v>
      </c>
      <c r="B85" t="str">
        <f t="shared" si="1"/>
        <v>Creation</v>
      </c>
      <c r="C85" s="1" t="s">
        <v>1317</v>
      </c>
    </row>
    <row r="86" spans="1:3" ht="12.75" customHeight="1" x14ac:dyDescent="0.25">
      <c r="A86" t="s">
        <v>87</v>
      </c>
      <c r="B86" t="str">
        <f t="shared" si="1"/>
        <v>Crown of Madness</v>
      </c>
      <c r="C86" s="1" t="s">
        <v>1318</v>
      </c>
    </row>
    <row r="87" spans="1:3" ht="12.75" customHeight="1" x14ac:dyDescent="0.25">
      <c r="A87" t="s">
        <v>89</v>
      </c>
      <c r="B87" t="str">
        <f t="shared" si="1"/>
        <v>Crusader's Mantle</v>
      </c>
      <c r="C87" s="1" t="s">
        <v>1319</v>
      </c>
    </row>
    <row r="88" spans="1:3" ht="12.75" customHeight="1" x14ac:dyDescent="0.25">
      <c r="A88" t="s">
        <v>90</v>
      </c>
      <c r="B88" t="str">
        <f t="shared" si="1"/>
        <v>Cure Wounds</v>
      </c>
      <c r="C88" s="1" t="s">
        <v>1320</v>
      </c>
    </row>
    <row r="89" spans="1:3" ht="12.75" customHeight="1" x14ac:dyDescent="0.25">
      <c r="A89" t="s">
        <v>92</v>
      </c>
      <c r="B89" t="str">
        <f t="shared" si="1"/>
        <v>Dancing Lights</v>
      </c>
      <c r="C89" s="1" t="s">
        <v>1321</v>
      </c>
    </row>
    <row r="90" spans="1:3" ht="12.75" customHeight="1" x14ac:dyDescent="0.25">
      <c r="A90" t="s">
        <v>94</v>
      </c>
      <c r="B90" t="str">
        <f t="shared" si="1"/>
        <v>Darkness</v>
      </c>
      <c r="C90" s="1" t="s">
        <v>1322</v>
      </c>
    </row>
    <row r="91" spans="1:3" ht="12.75" customHeight="1" x14ac:dyDescent="0.25">
      <c r="A91" t="s">
        <v>96</v>
      </c>
      <c r="B91" t="str">
        <f t="shared" si="1"/>
        <v>Darkvision</v>
      </c>
      <c r="C91" s="1" t="s">
        <v>1323</v>
      </c>
    </row>
    <row r="92" spans="1:3" ht="12.75" customHeight="1" x14ac:dyDescent="0.25">
      <c r="A92" t="s">
        <v>97</v>
      </c>
      <c r="B92" t="str">
        <f t="shared" si="1"/>
        <v>Daylight</v>
      </c>
      <c r="C92" s="1" t="s">
        <v>1324</v>
      </c>
    </row>
    <row r="93" spans="1:3" ht="12.75" customHeight="1" x14ac:dyDescent="0.25">
      <c r="A93" t="s">
        <v>98</v>
      </c>
      <c r="B93" t="str">
        <f t="shared" si="1"/>
        <v>Death Ward</v>
      </c>
      <c r="C93" s="1" t="s">
        <v>1325</v>
      </c>
    </row>
    <row r="94" spans="1:3" ht="12.75" customHeight="1" x14ac:dyDescent="0.25">
      <c r="A94" t="s">
        <v>99</v>
      </c>
      <c r="B94" t="str">
        <f t="shared" si="1"/>
        <v>Delayed Blast Fireball</v>
      </c>
      <c r="C94" s="1" t="s">
        <v>1326</v>
      </c>
    </row>
    <row r="95" spans="1:3" ht="12.75" customHeight="1" x14ac:dyDescent="0.25">
      <c r="A95" t="s">
        <v>101</v>
      </c>
      <c r="B95" t="str">
        <f t="shared" si="1"/>
        <v>Demiplane</v>
      </c>
      <c r="C95" s="1" t="s">
        <v>1327</v>
      </c>
    </row>
    <row r="96" spans="1:3" ht="12.75" customHeight="1" x14ac:dyDescent="0.25">
      <c r="A96" t="s">
        <v>103</v>
      </c>
      <c r="B96" t="str">
        <f t="shared" si="1"/>
        <v>Destructive Wave</v>
      </c>
      <c r="C96" s="1" t="s">
        <v>1328</v>
      </c>
    </row>
    <row r="97" spans="1:3" ht="12.75" customHeight="1" x14ac:dyDescent="0.25">
      <c r="A97" t="s">
        <v>105</v>
      </c>
      <c r="B97" t="str">
        <f t="shared" si="1"/>
        <v>Detect Evil and Good</v>
      </c>
      <c r="C97" s="1" t="s">
        <v>1329</v>
      </c>
    </row>
    <row r="98" spans="1:3" ht="12.75" customHeight="1" x14ac:dyDescent="0.25">
      <c r="A98" t="s">
        <v>106</v>
      </c>
      <c r="B98" t="str">
        <f t="shared" si="1"/>
        <v>Detect Magic</v>
      </c>
      <c r="C98" s="1" t="s">
        <v>1330</v>
      </c>
    </row>
    <row r="99" spans="1:3" ht="12.75" customHeight="1" x14ac:dyDescent="0.25">
      <c r="A99" t="s">
        <v>108</v>
      </c>
      <c r="B99" t="str">
        <f t="shared" si="1"/>
        <v>Detect Poison and Disease</v>
      </c>
      <c r="C99" s="1" t="s">
        <v>1331</v>
      </c>
    </row>
    <row r="100" spans="1:3" ht="12.75" customHeight="1" x14ac:dyDescent="0.25">
      <c r="A100" t="s">
        <v>110</v>
      </c>
      <c r="B100" t="str">
        <f t="shared" si="1"/>
        <v>Detect Thoughts</v>
      </c>
      <c r="C100" s="1" t="s">
        <v>1332</v>
      </c>
    </row>
    <row r="101" spans="1:3" ht="12.75" customHeight="1" x14ac:dyDescent="0.25">
      <c r="A101" t="s">
        <v>112</v>
      </c>
      <c r="B101" t="str">
        <f t="shared" si="1"/>
        <v>Dimension Door</v>
      </c>
      <c r="C101" s="1" t="s">
        <v>1333</v>
      </c>
    </row>
    <row r="102" spans="1:3" ht="12.75" customHeight="1" x14ac:dyDescent="0.25">
      <c r="A102" t="s">
        <v>114</v>
      </c>
      <c r="B102" t="str">
        <f t="shared" si="1"/>
        <v>Disguise Self</v>
      </c>
      <c r="C102" s="1" t="s">
        <v>1334</v>
      </c>
    </row>
    <row r="103" spans="1:3" ht="12.75" customHeight="1" x14ac:dyDescent="0.25">
      <c r="A103" t="s">
        <v>116</v>
      </c>
      <c r="B103" t="str">
        <f t="shared" si="1"/>
        <v>Disintegrate</v>
      </c>
      <c r="C103" s="1" t="s">
        <v>1335</v>
      </c>
    </row>
    <row r="104" spans="1:3" ht="12.75" customHeight="1" x14ac:dyDescent="0.25">
      <c r="A104" t="s">
        <v>118</v>
      </c>
      <c r="B104" t="str">
        <f t="shared" si="1"/>
        <v>Dispel Evil and Good</v>
      </c>
      <c r="C104" s="1" t="s">
        <v>1336</v>
      </c>
    </row>
    <row r="105" spans="1:3" ht="12.75" customHeight="1" x14ac:dyDescent="0.25">
      <c r="A105" t="s">
        <v>119</v>
      </c>
      <c r="B105" t="str">
        <f t="shared" si="1"/>
        <v>Dispel Magic</v>
      </c>
      <c r="C105" s="1" t="s">
        <v>1337</v>
      </c>
    </row>
    <row r="106" spans="1:3" ht="12.75" customHeight="1" x14ac:dyDescent="0.25">
      <c r="A106" t="s">
        <v>121</v>
      </c>
      <c r="B106" t="str">
        <f t="shared" si="1"/>
        <v>Dissonant Whispers</v>
      </c>
      <c r="C106" s="1" t="s">
        <v>1338</v>
      </c>
    </row>
    <row r="107" spans="1:3" ht="12.75" customHeight="1" x14ac:dyDescent="0.25">
      <c r="A107" t="s">
        <v>123</v>
      </c>
      <c r="B107" t="str">
        <f t="shared" si="1"/>
        <v>Divination</v>
      </c>
      <c r="C107" s="1" t="s">
        <v>1339</v>
      </c>
    </row>
    <row r="108" spans="1:3" ht="12.75" customHeight="1" x14ac:dyDescent="0.25">
      <c r="A108" t="s">
        <v>124</v>
      </c>
      <c r="B108" t="str">
        <f t="shared" si="1"/>
        <v>Divine Favor</v>
      </c>
      <c r="C108" s="1" t="s">
        <v>1340</v>
      </c>
    </row>
    <row r="109" spans="1:3" ht="12.75" customHeight="1" x14ac:dyDescent="0.25">
      <c r="A109" t="s">
        <v>125</v>
      </c>
      <c r="B109" t="str">
        <f t="shared" si="1"/>
        <v>Divine Smite</v>
      </c>
      <c r="C109" s="1" t="s">
        <v>1341</v>
      </c>
    </row>
    <row r="110" spans="1:3" ht="12.75" customHeight="1" x14ac:dyDescent="0.25">
      <c r="A110" t="s">
        <v>126</v>
      </c>
      <c r="B110" t="str">
        <f t="shared" si="1"/>
        <v>Divine Word</v>
      </c>
      <c r="C110" s="1" t="s">
        <v>1342</v>
      </c>
    </row>
    <row r="111" spans="1:3" ht="12.75" customHeight="1" x14ac:dyDescent="0.25">
      <c r="A111" t="s">
        <v>127</v>
      </c>
      <c r="B111" t="str">
        <f t="shared" si="1"/>
        <v>Dominate Beast</v>
      </c>
      <c r="C111" s="1" t="s">
        <v>1343</v>
      </c>
    </row>
    <row r="112" spans="1:3" ht="12.75" customHeight="1" x14ac:dyDescent="0.25">
      <c r="A112" t="s">
        <v>128</v>
      </c>
      <c r="B112" t="str">
        <f t="shared" si="1"/>
        <v>Dominate Monster</v>
      </c>
      <c r="C112" s="1" t="s">
        <v>1344</v>
      </c>
    </row>
    <row r="113" spans="1:3" ht="12.75" customHeight="1" x14ac:dyDescent="0.25">
      <c r="A113" t="s">
        <v>129</v>
      </c>
      <c r="B113" t="str">
        <f t="shared" si="1"/>
        <v>Dominate Person</v>
      </c>
      <c r="C113" s="1" t="s">
        <v>1345</v>
      </c>
    </row>
    <row r="114" spans="1:3" ht="12.75" customHeight="1" x14ac:dyDescent="0.25">
      <c r="A114" t="s">
        <v>130</v>
      </c>
      <c r="B114" t="str">
        <f t="shared" si="1"/>
        <v>Dragon's Breath</v>
      </c>
      <c r="C114" s="1" t="s">
        <v>1346</v>
      </c>
    </row>
    <row r="115" spans="1:3" ht="12.75" customHeight="1" x14ac:dyDescent="0.25">
      <c r="A115" t="s">
        <v>131</v>
      </c>
      <c r="B115" t="str">
        <f t="shared" si="1"/>
        <v>Drawmij's Instant Summons</v>
      </c>
      <c r="C115" s="1" t="s">
        <v>1347</v>
      </c>
    </row>
    <row r="116" spans="1:3" ht="12.75" customHeight="1" x14ac:dyDescent="0.25">
      <c r="A116" t="s">
        <v>133</v>
      </c>
      <c r="B116" t="str">
        <f t="shared" si="1"/>
        <v>Dream</v>
      </c>
      <c r="C116" s="1" t="s">
        <v>1348</v>
      </c>
    </row>
    <row r="117" spans="1:3" ht="12.75" customHeight="1" x14ac:dyDescent="0.25">
      <c r="A117" t="s">
        <v>134</v>
      </c>
      <c r="B117" t="str">
        <f t="shared" si="1"/>
        <v>Druidcraft</v>
      </c>
      <c r="C117" s="1" t="s">
        <v>1349</v>
      </c>
    </row>
    <row r="118" spans="1:3" ht="12.75" customHeight="1" x14ac:dyDescent="0.25">
      <c r="A118" t="s">
        <v>135</v>
      </c>
      <c r="B118" t="str">
        <f t="shared" si="1"/>
        <v>Earthquake</v>
      </c>
      <c r="C118" s="1" t="s">
        <v>1350</v>
      </c>
    </row>
    <row r="119" spans="1:3" ht="12.75" customHeight="1" x14ac:dyDescent="0.25">
      <c r="A119" t="s">
        <v>136</v>
      </c>
      <c r="B119" t="str">
        <f t="shared" si="1"/>
        <v>Eldritch Blast</v>
      </c>
      <c r="C119" s="1" t="s">
        <v>1351</v>
      </c>
    </row>
    <row r="120" spans="1:3" ht="12.75" customHeight="1" x14ac:dyDescent="0.25">
      <c r="A120" t="s">
        <v>137</v>
      </c>
      <c r="B120" t="str">
        <f t="shared" si="1"/>
        <v>Elemental Weapon</v>
      </c>
      <c r="C120" s="1" t="s">
        <v>1352</v>
      </c>
    </row>
    <row r="121" spans="1:3" ht="12.75" customHeight="1" x14ac:dyDescent="0.25">
      <c r="A121" t="s">
        <v>139</v>
      </c>
      <c r="B121" t="str">
        <f t="shared" si="1"/>
        <v>Elementalism</v>
      </c>
      <c r="C121" s="1" t="s">
        <v>1353</v>
      </c>
    </row>
    <row r="122" spans="1:3" ht="12.75" customHeight="1" x14ac:dyDescent="0.25">
      <c r="A122" t="s">
        <v>141</v>
      </c>
      <c r="B122" t="str">
        <f t="shared" si="1"/>
        <v>Enhance Ability</v>
      </c>
      <c r="C122" s="1" t="s">
        <v>1354</v>
      </c>
    </row>
    <row r="123" spans="1:3" ht="12.75" customHeight="1" x14ac:dyDescent="0.25">
      <c r="A123" t="s">
        <v>143</v>
      </c>
      <c r="B123" t="str">
        <f t="shared" si="1"/>
        <v>Enlarge Reduce</v>
      </c>
      <c r="C123" s="1" t="s">
        <v>1355</v>
      </c>
    </row>
    <row r="124" spans="1:3" ht="12.75" customHeight="1" x14ac:dyDescent="0.25">
      <c r="A124" t="s">
        <v>145</v>
      </c>
      <c r="B124" t="str">
        <f t="shared" si="1"/>
        <v>Ensnaring Strike</v>
      </c>
      <c r="C124" s="1" t="s">
        <v>1356</v>
      </c>
    </row>
    <row r="125" spans="1:3" ht="12.75" customHeight="1" x14ac:dyDescent="0.25">
      <c r="A125" t="s">
        <v>146</v>
      </c>
      <c r="B125" t="str">
        <f t="shared" si="1"/>
        <v>Entangle</v>
      </c>
      <c r="C125" s="1" t="s">
        <v>1357</v>
      </c>
    </row>
    <row r="126" spans="1:3" ht="12.75" customHeight="1" x14ac:dyDescent="0.25">
      <c r="A126" t="s">
        <v>147</v>
      </c>
      <c r="B126" t="str">
        <f t="shared" si="1"/>
        <v>Enthrall</v>
      </c>
      <c r="C126" s="1" t="s">
        <v>1358</v>
      </c>
    </row>
    <row r="127" spans="1:3" ht="12.75" customHeight="1" x14ac:dyDescent="0.25">
      <c r="A127" t="s">
        <v>148</v>
      </c>
      <c r="B127" t="str">
        <f t="shared" si="1"/>
        <v>Etherealness</v>
      </c>
      <c r="C127" s="1" t="s">
        <v>1359</v>
      </c>
    </row>
    <row r="128" spans="1:3" ht="12.75" customHeight="1" x14ac:dyDescent="0.25">
      <c r="A128" t="s">
        <v>150</v>
      </c>
      <c r="B128" t="str">
        <f t="shared" si="1"/>
        <v>Evard's Black Tentacles</v>
      </c>
      <c r="C128" s="1" t="s">
        <v>1360</v>
      </c>
    </row>
    <row r="129" spans="1:3" ht="12.75" customHeight="1" x14ac:dyDescent="0.25">
      <c r="A129" t="s">
        <v>152</v>
      </c>
      <c r="B129" t="str">
        <f t="shared" si="1"/>
        <v>Expeditious Retreat</v>
      </c>
      <c r="C129" s="1" t="s">
        <v>1361</v>
      </c>
    </row>
    <row r="130" spans="1:3" ht="12.75" customHeight="1" x14ac:dyDescent="0.25">
      <c r="A130" t="s">
        <v>153</v>
      </c>
      <c r="B130" t="str">
        <f t="shared" si="1"/>
        <v>Eyebite</v>
      </c>
      <c r="C130" s="1" t="s">
        <v>1362</v>
      </c>
    </row>
    <row r="131" spans="1:3" ht="12.75" customHeight="1" x14ac:dyDescent="0.25">
      <c r="A131" t="s">
        <v>155</v>
      </c>
      <c r="B131" t="str">
        <f t="shared" ref="B131:B194" si="2">SUBSTITUTE(A131,".md","")</f>
        <v>Fabricate</v>
      </c>
      <c r="C131" s="1" t="s">
        <v>1363</v>
      </c>
    </row>
    <row r="132" spans="1:3" ht="12.75" customHeight="1" x14ac:dyDescent="0.25">
      <c r="A132" t="s">
        <v>157</v>
      </c>
      <c r="B132" t="str">
        <f t="shared" si="2"/>
        <v>Faerie Fire</v>
      </c>
      <c r="C132" s="1" t="s">
        <v>1364</v>
      </c>
    </row>
    <row r="133" spans="1:3" ht="12.75" customHeight="1" x14ac:dyDescent="0.25">
      <c r="A133" t="s">
        <v>159</v>
      </c>
      <c r="B133" t="str">
        <f t="shared" si="2"/>
        <v>False Life</v>
      </c>
      <c r="C133" s="1" t="s">
        <v>1365</v>
      </c>
    </row>
    <row r="134" spans="1:3" ht="12.75" customHeight="1" x14ac:dyDescent="0.25">
      <c r="A134" t="s">
        <v>161</v>
      </c>
      <c r="B134" t="str">
        <f t="shared" si="2"/>
        <v>Fear</v>
      </c>
      <c r="C134" s="1" t="s">
        <v>1366</v>
      </c>
    </row>
    <row r="135" spans="1:3" ht="12.75" customHeight="1" x14ac:dyDescent="0.25">
      <c r="A135" t="s">
        <v>162</v>
      </c>
      <c r="B135" t="str">
        <f t="shared" si="2"/>
        <v>Feather Fall</v>
      </c>
      <c r="C135" s="1" t="s">
        <v>1367</v>
      </c>
    </row>
    <row r="136" spans="1:3" ht="12.75" customHeight="1" x14ac:dyDescent="0.25">
      <c r="A136" t="s">
        <v>163</v>
      </c>
      <c r="B136" t="str">
        <f t="shared" si="2"/>
        <v>Feign Death</v>
      </c>
      <c r="C136" s="1" t="s">
        <v>1368</v>
      </c>
    </row>
    <row r="137" spans="1:3" ht="12.75" customHeight="1" x14ac:dyDescent="0.25">
      <c r="A137" t="s">
        <v>164</v>
      </c>
      <c r="B137" t="str">
        <f t="shared" si="2"/>
        <v>Find Familiar</v>
      </c>
      <c r="C137" s="1" t="s">
        <v>1369</v>
      </c>
    </row>
    <row r="138" spans="1:3" ht="12.75" customHeight="1" x14ac:dyDescent="0.25">
      <c r="A138" t="s">
        <v>166</v>
      </c>
      <c r="B138" t="str">
        <f t="shared" si="2"/>
        <v>Find Steed</v>
      </c>
      <c r="C138" s="1" t="s">
        <v>1370</v>
      </c>
    </row>
    <row r="139" spans="1:3" ht="12.75" customHeight="1" x14ac:dyDescent="0.25">
      <c r="A139" t="s">
        <v>168</v>
      </c>
      <c r="B139" t="str">
        <f t="shared" si="2"/>
        <v>Find the Path</v>
      </c>
      <c r="C139" s="1" t="s">
        <v>1371</v>
      </c>
    </row>
    <row r="140" spans="1:3" ht="12.75" customHeight="1" x14ac:dyDescent="0.25">
      <c r="A140" t="s">
        <v>170</v>
      </c>
      <c r="B140" t="str">
        <f t="shared" si="2"/>
        <v>Find Traps</v>
      </c>
      <c r="C140" s="1" t="s">
        <v>1372</v>
      </c>
    </row>
    <row r="141" spans="1:3" ht="12.75" customHeight="1" x14ac:dyDescent="0.25">
      <c r="A141" t="s">
        <v>171</v>
      </c>
      <c r="B141" t="str">
        <f t="shared" si="2"/>
        <v>Finger of Death</v>
      </c>
      <c r="C141" s="1" t="s">
        <v>1373</v>
      </c>
    </row>
    <row r="142" spans="1:3" ht="12.75" customHeight="1" x14ac:dyDescent="0.25">
      <c r="A142" t="s">
        <v>173</v>
      </c>
      <c r="B142" t="str">
        <f t="shared" si="2"/>
        <v>Fire Bolt</v>
      </c>
      <c r="C142" s="1" t="s">
        <v>1374</v>
      </c>
    </row>
    <row r="143" spans="1:3" ht="12.75" customHeight="1" x14ac:dyDescent="0.25">
      <c r="A143" t="s">
        <v>175</v>
      </c>
      <c r="B143" t="str">
        <f t="shared" si="2"/>
        <v>Fire Shield</v>
      </c>
      <c r="C143" s="1" t="s">
        <v>1375</v>
      </c>
    </row>
    <row r="144" spans="1:3" ht="12.75" customHeight="1" x14ac:dyDescent="0.25">
      <c r="A144" t="s">
        <v>1225</v>
      </c>
      <c r="B144" t="str">
        <f t="shared" si="2"/>
        <v>Fire Storm</v>
      </c>
      <c r="C144" t="s">
        <v>1231</v>
      </c>
    </row>
    <row r="145" spans="1:3" ht="12.75" customHeight="1" x14ac:dyDescent="0.25">
      <c r="A145" t="s">
        <v>176</v>
      </c>
      <c r="B145" t="str">
        <f t="shared" si="2"/>
        <v>Fireball</v>
      </c>
      <c r="C145" s="1" t="s">
        <v>1376</v>
      </c>
    </row>
    <row r="146" spans="1:3" ht="12.75" customHeight="1" x14ac:dyDescent="0.25">
      <c r="A146" t="s">
        <v>178</v>
      </c>
      <c r="B146" t="str">
        <f t="shared" si="2"/>
        <v>Flame Blade</v>
      </c>
      <c r="C146" s="1" t="s">
        <v>1377</v>
      </c>
    </row>
    <row r="147" spans="1:3" ht="12.75" customHeight="1" x14ac:dyDescent="0.25">
      <c r="A147" t="s">
        <v>179</v>
      </c>
      <c r="B147" t="str">
        <f t="shared" si="2"/>
        <v>Flame Strike</v>
      </c>
      <c r="C147" s="1" t="s">
        <v>1378</v>
      </c>
    </row>
    <row r="148" spans="1:3" ht="12.75" customHeight="1" x14ac:dyDescent="0.25">
      <c r="A148" t="s">
        <v>181</v>
      </c>
      <c r="B148" t="str">
        <f t="shared" si="2"/>
        <v>Flaming Sphere</v>
      </c>
      <c r="C148" s="1" t="s">
        <v>1379</v>
      </c>
    </row>
    <row r="149" spans="1:3" ht="12.75" customHeight="1" x14ac:dyDescent="0.25">
      <c r="A149" t="s">
        <v>183</v>
      </c>
      <c r="B149" t="str">
        <f t="shared" si="2"/>
        <v>Flesh to Stone</v>
      </c>
      <c r="C149" s="1" t="s">
        <v>1380</v>
      </c>
    </row>
    <row r="150" spans="1:3" ht="12.75" customHeight="1" x14ac:dyDescent="0.25">
      <c r="A150" t="s">
        <v>184</v>
      </c>
      <c r="B150" t="str">
        <f t="shared" si="2"/>
        <v>Fly</v>
      </c>
      <c r="C150" s="1" t="s">
        <v>1381</v>
      </c>
    </row>
    <row r="151" spans="1:3" ht="12.75" customHeight="1" x14ac:dyDescent="0.25">
      <c r="A151" t="s">
        <v>185</v>
      </c>
      <c r="B151" t="str">
        <f t="shared" si="2"/>
        <v>Fog Cloud</v>
      </c>
      <c r="C151" s="1" t="s">
        <v>1382</v>
      </c>
    </row>
    <row r="152" spans="1:3" ht="12.75" customHeight="1" x14ac:dyDescent="0.25">
      <c r="A152" t="s">
        <v>187</v>
      </c>
      <c r="B152" t="str">
        <f t="shared" si="2"/>
        <v>Forbiddance</v>
      </c>
      <c r="C152" s="1" t="s">
        <v>1383</v>
      </c>
    </row>
    <row r="153" spans="1:3" ht="12.75" customHeight="1" x14ac:dyDescent="0.25">
      <c r="A153" t="s">
        <v>188</v>
      </c>
      <c r="B153" t="str">
        <f t="shared" si="2"/>
        <v>Forcecage</v>
      </c>
      <c r="C153" s="1" t="s">
        <v>1384</v>
      </c>
    </row>
    <row r="154" spans="1:3" ht="12.75" customHeight="1" x14ac:dyDescent="0.25">
      <c r="A154" t="s">
        <v>190</v>
      </c>
      <c r="B154" t="str">
        <f t="shared" si="2"/>
        <v>Foresight</v>
      </c>
      <c r="C154" s="1" t="s">
        <v>1385</v>
      </c>
    </row>
    <row r="155" spans="1:3" ht="12.75" customHeight="1" x14ac:dyDescent="0.25">
      <c r="A155" t="s">
        <v>192</v>
      </c>
      <c r="B155" t="str">
        <f t="shared" si="2"/>
        <v>Fount of Moonlight</v>
      </c>
      <c r="C155" s="1" t="s">
        <v>1386</v>
      </c>
    </row>
    <row r="156" spans="1:3" ht="12.75" customHeight="1" x14ac:dyDescent="0.25">
      <c r="A156" t="s">
        <v>194</v>
      </c>
      <c r="B156" t="str">
        <f t="shared" si="2"/>
        <v>Freedom of Movement</v>
      </c>
      <c r="C156" s="1" t="s">
        <v>1387</v>
      </c>
    </row>
    <row r="157" spans="1:3" ht="12.75" customHeight="1" x14ac:dyDescent="0.25">
      <c r="A157" t="s">
        <v>196</v>
      </c>
      <c r="B157" t="str">
        <f t="shared" si="2"/>
        <v>Friends</v>
      </c>
      <c r="C157" s="1" t="s">
        <v>1388</v>
      </c>
    </row>
    <row r="158" spans="1:3" ht="12.75" customHeight="1" x14ac:dyDescent="0.25">
      <c r="A158" t="s">
        <v>198</v>
      </c>
      <c r="B158" t="str">
        <f t="shared" si="2"/>
        <v>Gaseous Form</v>
      </c>
      <c r="C158" s="1" t="s">
        <v>1389</v>
      </c>
    </row>
    <row r="159" spans="1:3" ht="12.75" customHeight="1" x14ac:dyDescent="0.25">
      <c r="A159" t="s">
        <v>200</v>
      </c>
      <c r="B159" t="str">
        <f t="shared" si="2"/>
        <v>Gate</v>
      </c>
      <c r="C159" s="1" t="s">
        <v>1390</v>
      </c>
    </row>
    <row r="160" spans="1:3" ht="12.75" customHeight="1" x14ac:dyDescent="0.25">
      <c r="A160" t="s">
        <v>202</v>
      </c>
      <c r="B160" t="str">
        <f t="shared" si="2"/>
        <v>Geas</v>
      </c>
      <c r="C160" s="1" t="s">
        <v>1391</v>
      </c>
    </row>
    <row r="161" spans="1:3" ht="12.75" customHeight="1" x14ac:dyDescent="0.25">
      <c r="A161" t="s">
        <v>204</v>
      </c>
      <c r="B161" t="str">
        <f t="shared" si="2"/>
        <v>Gentle Repose</v>
      </c>
      <c r="C161" s="1" t="s">
        <v>1392</v>
      </c>
    </row>
    <row r="162" spans="1:3" ht="12.75" customHeight="1" x14ac:dyDescent="0.25">
      <c r="A162" t="s">
        <v>205</v>
      </c>
      <c r="B162" t="str">
        <f t="shared" si="2"/>
        <v>Giant Insect</v>
      </c>
      <c r="C162" s="1" t="s">
        <v>1393</v>
      </c>
    </row>
    <row r="163" spans="1:3" ht="12.75" customHeight="1" x14ac:dyDescent="0.25">
      <c r="A163" t="s">
        <v>207</v>
      </c>
      <c r="B163" t="str">
        <f t="shared" si="2"/>
        <v>Glibness</v>
      </c>
      <c r="C163" s="1" t="s">
        <v>1394</v>
      </c>
    </row>
    <row r="164" spans="1:3" ht="12.75" customHeight="1" x14ac:dyDescent="0.25">
      <c r="A164" t="s">
        <v>209</v>
      </c>
      <c r="B164" t="str">
        <f t="shared" si="2"/>
        <v>Globe of Invulnerability</v>
      </c>
      <c r="C164" s="1" t="s">
        <v>1395</v>
      </c>
    </row>
    <row r="165" spans="1:3" ht="12.75" customHeight="1" x14ac:dyDescent="0.25">
      <c r="A165" t="s">
        <v>210</v>
      </c>
      <c r="B165" t="str">
        <f t="shared" si="2"/>
        <v>Glyph of Warding</v>
      </c>
      <c r="C165" s="1" t="s">
        <v>1396</v>
      </c>
    </row>
    <row r="166" spans="1:3" ht="12.75" customHeight="1" x14ac:dyDescent="0.25">
      <c r="A166" t="s">
        <v>211</v>
      </c>
      <c r="B166" t="str">
        <f t="shared" si="2"/>
        <v>Goodberry</v>
      </c>
      <c r="C166" s="1" t="s">
        <v>1397</v>
      </c>
    </row>
    <row r="167" spans="1:3" ht="12.75" customHeight="1" x14ac:dyDescent="0.25">
      <c r="A167" t="s">
        <v>212</v>
      </c>
      <c r="B167" t="str">
        <f t="shared" si="2"/>
        <v>Grasping Vine</v>
      </c>
      <c r="C167" s="1" t="s">
        <v>1398</v>
      </c>
    </row>
    <row r="168" spans="1:3" ht="12.75" customHeight="1" x14ac:dyDescent="0.25">
      <c r="A168" t="s">
        <v>213</v>
      </c>
      <c r="B168" t="str">
        <f t="shared" si="2"/>
        <v>Grease</v>
      </c>
      <c r="C168" s="1" t="s">
        <v>1399</v>
      </c>
    </row>
    <row r="169" spans="1:3" ht="12.75" customHeight="1" x14ac:dyDescent="0.25">
      <c r="A169" t="s">
        <v>215</v>
      </c>
      <c r="B169" t="str">
        <f t="shared" si="2"/>
        <v>Greater Invisibility</v>
      </c>
      <c r="C169" s="1" t="s">
        <v>1400</v>
      </c>
    </row>
    <row r="170" spans="1:3" ht="12.75" customHeight="1" x14ac:dyDescent="0.25">
      <c r="A170" t="s">
        <v>216</v>
      </c>
      <c r="B170" t="str">
        <f t="shared" si="2"/>
        <v>Greater Restoration</v>
      </c>
      <c r="C170" s="1" t="s">
        <v>1401</v>
      </c>
    </row>
    <row r="171" spans="1:3" ht="12.75" customHeight="1" x14ac:dyDescent="0.25">
      <c r="A171" t="s">
        <v>218</v>
      </c>
      <c r="B171" t="str">
        <f t="shared" si="2"/>
        <v>Guardian of Faith</v>
      </c>
      <c r="C171" s="1" t="s">
        <v>1402</v>
      </c>
    </row>
    <row r="172" spans="1:3" ht="12.75" customHeight="1" x14ac:dyDescent="0.25">
      <c r="A172" t="s">
        <v>220</v>
      </c>
      <c r="B172" t="str">
        <f t="shared" si="2"/>
        <v>Guards and Wards</v>
      </c>
      <c r="C172" s="1" t="s">
        <v>1403</v>
      </c>
    </row>
    <row r="173" spans="1:3" ht="12.75" customHeight="1" x14ac:dyDescent="0.25">
      <c r="A173" t="s">
        <v>222</v>
      </c>
      <c r="B173" t="str">
        <f t="shared" si="2"/>
        <v>Guidance</v>
      </c>
      <c r="C173" s="1" t="s">
        <v>1404</v>
      </c>
    </row>
    <row r="174" spans="1:3" ht="12.75" customHeight="1" x14ac:dyDescent="0.25">
      <c r="A174" t="s">
        <v>224</v>
      </c>
      <c r="B174" t="str">
        <f t="shared" si="2"/>
        <v>Guiding Bolt</v>
      </c>
      <c r="C174" s="1" t="s">
        <v>1405</v>
      </c>
    </row>
    <row r="175" spans="1:3" ht="12.75" customHeight="1" x14ac:dyDescent="0.25">
      <c r="A175" t="s">
        <v>226</v>
      </c>
      <c r="B175" t="str">
        <f t="shared" si="2"/>
        <v>Gust of Wind</v>
      </c>
      <c r="C175" s="1" t="s">
        <v>1406</v>
      </c>
    </row>
    <row r="176" spans="1:3" ht="12.75" customHeight="1" x14ac:dyDescent="0.25">
      <c r="A176" t="s">
        <v>227</v>
      </c>
      <c r="B176" t="str">
        <f t="shared" si="2"/>
        <v>Hail of Thorns</v>
      </c>
      <c r="C176" s="1" t="s">
        <v>1407</v>
      </c>
    </row>
    <row r="177" spans="1:3" ht="12.75" customHeight="1" x14ac:dyDescent="0.25">
      <c r="A177" t="s">
        <v>228</v>
      </c>
      <c r="B177" t="str">
        <f t="shared" si="2"/>
        <v>Hallow</v>
      </c>
      <c r="C177" s="1" t="s">
        <v>1408</v>
      </c>
    </row>
    <row r="178" spans="1:3" ht="12.75" customHeight="1" x14ac:dyDescent="0.25">
      <c r="A178" t="s">
        <v>230</v>
      </c>
      <c r="B178" t="str">
        <f t="shared" si="2"/>
        <v>Hallucinatory Terrain</v>
      </c>
      <c r="C178" s="1" t="s">
        <v>1409</v>
      </c>
    </row>
    <row r="179" spans="1:3" ht="12.75" customHeight="1" x14ac:dyDescent="0.25">
      <c r="A179" t="s">
        <v>232</v>
      </c>
      <c r="B179" t="str">
        <f t="shared" si="2"/>
        <v>Harm</v>
      </c>
      <c r="C179" s="1" t="s">
        <v>1410</v>
      </c>
    </row>
    <row r="180" spans="1:3" ht="12.75" customHeight="1" x14ac:dyDescent="0.25">
      <c r="A180" t="s">
        <v>234</v>
      </c>
      <c r="B180" t="str">
        <f t="shared" si="2"/>
        <v>Haste</v>
      </c>
      <c r="C180" s="1" t="s">
        <v>1411</v>
      </c>
    </row>
    <row r="181" spans="1:3" ht="12.75" customHeight="1" x14ac:dyDescent="0.25">
      <c r="A181" t="s">
        <v>236</v>
      </c>
      <c r="B181" t="str">
        <f t="shared" si="2"/>
        <v>Heal</v>
      </c>
      <c r="C181" s="1" t="s">
        <v>1412</v>
      </c>
    </row>
    <row r="182" spans="1:3" ht="12.75" customHeight="1" x14ac:dyDescent="0.25">
      <c r="A182" t="s">
        <v>238</v>
      </c>
      <c r="B182" t="str">
        <f t="shared" si="2"/>
        <v>Healing Word</v>
      </c>
      <c r="C182" s="1" t="s">
        <v>1413</v>
      </c>
    </row>
    <row r="183" spans="1:3" ht="12.75" customHeight="1" x14ac:dyDescent="0.25">
      <c r="A183" t="s">
        <v>239</v>
      </c>
      <c r="B183" t="str">
        <f t="shared" si="2"/>
        <v>Heat Metal</v>
      </c>
      <c r="C183" s="1" t="s">
        <v>1414</v>
      </c>
    </row>
    <row r="184" spans="1:3" ht="12.75" customHeight="1" x14ac:dyDescent="0.25">
      <c r="A184" t="s">
        <v>241</v>
      </c>
      <c r="B184" t="str">
        <f t="shared" si="2"/>
        <v>Hellish Rebuke</v>
      </c>
      <c r="C184" s="1" t="s">
        <v>1415</v>
      </c>
    </row>
    <row r="185" spans="1:3" ht="12.75" customHeight="1" x14ac:dyDescent="0.25">
      <c r="A185" t="s">
        <v>243</v>
      </c>
      <c r="B185" t="str">
        <f t="shared" si="2"/>
        <v>Heroes' Feast</v>
      </c>
      <c r="C185" s="1" t="s">
        <v>1416</v>
      </c>
    </row>
    <row r="186" spans="1:3" ht="12.75" customHeight="1" x14ac:dyDescent="0.25">
      <c r="A186" t="s">
        <v>245</v>
      </c>
      <c r="B186" t="str">
        <f t="shared" si="2"/>
        <v>Heroism</v>
      </c>
      <c r="C186" s="1" t="s">
        <v>1417</v>
      </c>
    </row>
    <row r="187" spans="1:3" ht="12.75" customHeight="1" x14ac:dyDescent="0.25">
      <c r="A187" t="s">
        <v>247</v>
      </c>
      <c r="B187" t="str">
        <f t="shared" si="2"/>
        <v>Hex</v>
      </c>
      <c r="C187" s="1" t="s">
        <v>1418</v>
      </c>
    </row>
    <row r="188" spans="1:3" ht="12.75" customHeight="1" x14ac:dyDescent="0.25">
      <c r="A188" t="s">
        <v>248</v>
      </c>
      <c r="B188" t="str">
        <f t="shared" si="2"/>
        <v>Hold Monster</v>
      </c>
      <c r="C188" s="1" t="s">
        <v>1419</v>
      </c>
    </row>
    <row r="189" spans="1:3" ht="12.75" customHeight="1" x14ac:dyDescent="0.25">
      <c r="A189" t="s">
        <v>250</v>
      </c>
      <c r="B189" t="str">
        <f t="shared" si="2"/>
        <v>Hold Person</v>
      </c>
      <c r="C189" s="1" t="s">
        <v>1420</v>
      </c>
    </row>
    <row r="190" spans="1:3" ht="12.75" customHeight="1" x14ac:dyDescent="0.25">
      <c r="A190" t="s">
        <v>252</v>
      </c>
      <c r="B190" t="str">
        <f t="shared" si="2"/>
        <v>Holy Aura</v>
      </c>
      <c r="C190" s="1" t="s">
        <v>1421</v>
      </c>
    </row>
    <row r="191" spans="1:3" ht="12.75" customHeight="1" x14ac:dyDescent="0.25">
      <c r="A191" t="s">
        <v>254</v>
      </c>
      <c r="B191" t="str">
        <f t="shared" si="2"/>
        <v>Hunger of Hadar</v>
      </c>
      <c r="C191" s="1" t="s">
        <v>1422</v>
      </c>
    </row>
    <row r="192" spans="1:3" ht="12.75" customHeight="1" x14ac:dyDescent="0.25">
      <c r="A192" t="s">
        <v>255</v>
      </c>
      <c r="B192" t="str">
        <f t="shared" si="2"/>
        <v>Hunter's Mark</v>
      </c>
      <c r="C192" s="1" t="s">
        <v>1423</v>
      </c>
    </row>
    <row r="193" spans="1:3" ht="12.75" customHeight="1" x14ac:dyDescent="0.25">
      <c r="A193" t="s">
        <v>256</v>
      </c>
      <c r="B193" t="str">
        <f t="shared" si="2"/>
        <v>Hypnotic Pattern</v>
      </c>
      <c r="C193" s="1" t="s">
        <v>1424</v>
      </c>
    </row>
    <row r="194" spans="1:3" ht="12.75" customHeight="1" x14ac:dyDescent="0.25">
      <c r="A194" t="s">
        <v>258</v>
      </c>
      <c r="B194" t="str">
        <f t="shared" si="2"/>
        <v>Ice Knife</v>
      </c>
      <c r="C194" s="1" t="s">
        <v>1425</v>
      </c>
    </row>
    <row r="195" spans="1:3" ht="12.75" customHeight="1" x14ac:dyDescent="0.25">
      <c r="A195" t="s">
        <v>260</v>
      </c>
      <c r="B195" t="str">
        <f t="shared" ref="B195:B258" si="3">SUBSTITUTE(A195,".md","")</f>
        <v>Ice Storm</v>
      </c>
      <c r="C195" s="1" t="s">
        <v>1426</v>
      </c>
    </row>
    <row r="196" spans="1:3" ht="12.75" customHeight="1" x14ac:dyDescent="0.25">
      <c r="A196" t="s">
        <v>1227</v>
      </c>
      <c r="B196" t="str">
        <f t="shared" si="3"/>
        <v>Identify</v>
      </c>
      <c r="C196" t="s">
        <v>1232</v>
      </c>
    </row>
    <row r="197" spans="1:3" ht="12.75" customHeight="1" x14ac:dyDescent="0.25">
      <c r="A197" t="s">
        <v>1229</v>
      </c>
      <c r="B197" t="str">
        <f t="shared" si="3"/>
        <v>Illusory Script</v>
      </c>
      <c r="C197" t="s">
        <v>1233</v>
      </c>
    </row>
    <row r="198" spans="1:3" ht="12.75" customHeight="1" x14ac:dyDescent="0.25">
      <c r="A198" t="s">
        <v>262</v>
      </c>
      <c r="B198" t="str">
        <f t="shared" si="3"/>
        <v>Imprisonment</v>
      </c>
      <c r="C198" s="1" t="s">
        <v>1427</v>
      </c>
    </row>
    <row r="199" spans="1:3" ht="12.75" customHeight="1" x14ac:dyDescent="0.25">
      <c r="A199" t="s">
        <v>264</v>
      </c>
      <c r="B199" t="str">
        <f t="shared" si="3"/>
        <v>Incendiary CLoud</v>
      </c>
      <c r="C199" s="1" t="s">
        <v>1428</v>
      </c>
    </row>
    <row r="200" spans="1:3" ht="12.75" customHeight="1" x14ac:dyDescent="0.25">
      <c r="A200" t="s">
        <v>266</v>
      </c>
      <c r="B200" t="str">
        <f t="shared" si="3"/>
        <v>Inflict Wounds</v>
      </c>
      <c r="C200" s="1" t="s">
        <v>1429</v>
      </c>
    </row>
    <row r="201" spans="1:3" ht="12.75" customHeight="1" x14ac:dyDescent="0.25">
      <c r="A201" t="s">
        <v>267</v>
      </c>
      <c r="B201" t="str">
        <f t="shared" si="3"/>
        <v>Insect Plague</v>
      </c>
      <c r="C201" s="1" t="s">
        <v>1430</v>
      </c>
    </row>
    <row r="202" spans="1:3" ht="12.75" customHeight="1" x14ac:dyDescent="0.25">
      <c r="A202" t="s">
        <v>269</v>
      </c>
      <c r="B202" t="str">
        <f t="shared" si="3"/>
        <v>Invisibility</v>
      </c>
      <c r="C202" s="1" t="s">
        <v>1431</v>
      </c>
    </row>
    <row r="203" spans="1:3" ht="12.75" customHeight="1" x14ac:dyDescent="0.25">
      <c r="A203" t="s">
        <v>270</v>
      </c>
      <c r="B203" t="str">
        <f t="shared" si="3"/>
        <v>Jallarzi's Storm of Radiance</v>
      </c>
      <c r="C203" s="1" t="s">
        <v>1432</v>
      </c>
    </row>
    <row r="204" spans="1:3" ht="12.75" customHeight="1" x14ac:dyDescent="0.25">
      <c r="A204" t="s">
        <v>271</v>
      </c>
      <c r="B204" t="str">
        <f t="shared" si="3"/>
        <v>Jump</v>
      </c>
      <c r="C204" s="1" t="s">
        <v>1433</v>
      </c>
    </row>
    <row r="205" spans="1:3" ht="12.75" customHeight="1" x14ac:dyDescent="0.25">
      <c r="A205" t="s">
        <v>272</v>
      </c>
      <c r="B205" t="str">
        <f t="shared" si="3"/>
        <v>Knock</v>
      </c>
      <c r="C205" s="1" t="s">
        <v>1434</v>
      </c>
    </row>
    <row r="206" spans="1:3" ht="12.75" customHeight="1" x14ac:dyDescent="0.25">
      <c r="A206" t="s">
        <v>273</v>
      </c>
      <c r="B206" t="str">
        <f t="shared" si="3"/>
        <v>Legend Lore</v>
      </c>
      <c r="C206" s="1" t="s">
        <v>1435</v>
      </c>
    </row>
    <row r="207" spans="1:3" ht="12.75" customHeight="1" x14ac:dyDescent="0.25">
      <c r="A207" t="s">
        <v>275</v>
      </c>
      <c r="B207" t="str">
        <f t="shared" si="3"/>
        <v>Leomund's Secret Chest</v>
      </c>
      <c r="C207" s="1" t="s">
        <v>1436</v>
      </c>
    </row>
    <row r="208" spans="1:3" ht="12.75" customHeight="1" x14ac:dyDescent="0.25">
      <c r="A208" t="s">
        <v>277</v>
      </c>
      <c r="B208" t="str">
        <f t="shared" si="3"/>
        <v>Leomund's Tiny Hut</v>
      </c>
      <c r="C208" s="1" t="s">
        <v>1437</v>
      </c>
    </row>
    <row r="209" spans="1:3" ht="12.75" customHeight="1" x14ac:dyDescent="0.25">
      <c r="A209" t="s">
        <v>278</v>
      </c>
      <c r="B209" t="str">
        <f t="shared" si="3"/>
        <v>Lesser Restoration</v>
      </c>
      <c r="C209" s="1" t="s">
        <v>1438</v>
      </c>
    </row>
    <row r="210" spans="1:3" ht="12.75" customHeight="1" x14ac:dyDescent="0.25">
      <c r="A210" t="s">
        <v>279</v>
      </c>
      <c r="B210" t="str">
        <f t="shared" si="3"/>
        <v>Levitate</v>
      </c>
      <c r="C210" s="1" t="s">
        <v>1439</v>
      </c>
    </row>
    <row r="211" spans="1:3" ht="12.75" customHeight="1" x14ac:dyDescent="0.25">
      <c r="A211" t="s">
        <v>280</v>
      </c>
      <c r="B211" t="str">
        <f t="shared" si="3"/>
        <v>Light</v>
      </c>
      <c r="C211" s="1" t="s">
        <v>1440</v>
      </c>
    </row>
    <row r="212" spans="1:3" ht="12.75" customHeight="1" x14ac:dyDescent="0.25">
      <c r="A212" t="s">
        <v>282</v>
      </c>
      <c r="B212" t="str">
        <f t="shared" si="3"/>
        <v>Lightning Arrow</v>
      </c>
      <c r="C212" s="1" t="s">
        <v>1441</v>
      </c>
    </row>
    <row r="213" spans="1:3" ht="12.75" customHeight="1" x14ac:dyDescent="0.25">
      <c r="A213" t="s">
        <v>283</v>
      </c>
      <c r="B213" t="str">
        <f t="shared" si="3"/>
        <v>Lightning Bolt</v>
      </c>
      <c r="C213" s="1" t="s">
        <v>1442</v>
      </c>
    </row>
    <row r="214" spans="1:3" ht="12.75" customHeight="1" x14ac:dyDescent="0.25">
      <c r="A214" t="s">
        <v>285</v>
      </c>
      <c r="B214" t="str">
        <f t="shared" si="3"/>
        <v>Locate Animals or Plants</v>
      </c>
      <c r="C214" s="1" t="s">
        <v>1443</v>
      </c>
    </row>
    <row r="215" spans="1:3" ht="12.75" customHeight="1" x14ac:dyDescent="0.25">
      <c r="A215" t="s">
        <v>287</v>
      </c>
      <c r="B215" t="str">
        <f t="shared" si="3"/>
        <v>Locate Creature</v>
      </c>
      <c r="C215" s="1" t="s">
        <v>1444</v>
      </c>
    </row>
    <row r="216" spans="1:3" ht="12.75" customHeight="1" x14ac:dyDescent="0.25">
      <c r="A216" t="s">
        <v>289</v>
      </c>
      <c r="B216" t="str">
        <f t="shared" si="3"/>
        <v>Locate Object</v>
      </c>
      <c r="C216" s="1" t="s">
        <v>1445</v>
      </c>
    </row>
    <row r="217" spans="1:3" ht="12.75" customHeight="1" x14ac:dyDescent="0.25">
      <c r="A217" t="s">
        <v>291</v>
      </c>
      <c r="B217" t="str">
        <f t="shared" si="3"/>
        <v>Longstrider</v>
      </c>
      <c r="C217" s="1" t="s">
        <v>1446</v>
      </c>
    </row>
    <row r="218" spans="1:3" ht="12.75" customHeight="1" x14ac:dyDescent="0.25">
      <c r="A218" t="s">
        <v>293</v>
      </c>
      <c r="B218" t="str">
        <f t="shared" si="3"/>
        <v>Mage Armor</v>
      </c>
      <c r="C218" s="1" t="s">
        <v>1447</v>
      </c>
    </row>
    <row r="219" spans="1:3" ht="12.75" customHeight="1" x14ac:dyDescent="0.25">
      <c r="A219" t="s">
        <v>295</v>
      </c>
      <c r="B219" t="str">
        <f t="shared" si="3"/>
        <v>Mage Hand</v>
      </c>
      <c r="C219" s="1" t="s">
        <v>1448</v>
      </c>
    </row>
    <row r="220" spans="1:3" ht="12.75" customHeight="1" x14ac:dyDescent="0.25">
      <c r="A220" t="s">
        <v>297</v>
      </c>
      <c r="B220" t="str">
        <f t="shared" si="3"/>
        <v>Magic Circle</v>
      </c>
      <c r="C220" s="1" t="s">
        <v>1449</v>
      </c>
    </row>
    <row r="221" spans="1:3" ht="12.75" customHeight="1" x14ac:dyDescent="0.25">
      <c r="A221" t="s">
        <v>299</v>
      </c>
      <c r="B221" t="str">
        <f t="shared" si="3"/>
        <v>Magic Jar</v>
      </c>
      <c r="C221" s="1" t="s">
        <v>1450</v>
      </c>
    </row>
    <row r="222" spans="1:3" ht="12.75" customHeight="1" x14ac:dyDescent="0.25">
      <c r="A222" t="s">
        <v>301</v>
      </c>
      <c r="B222" t="str">
        <f t="shared" si="3"/>
        <v>Magic Missile</v>
      </c>
      <c r="C222" s="1" t="s">
        <v>1451</v>
      </c>
    </row>
    <row r="223" spans="1:3" ht="12.75" customHeight="1" x14ac:dyDescent="0.25">
      <c r="A223" t="s">
        <v>303</v>
      </c>
      <c r="B223" t="str">
        <f t="shared" si="3"/>
        <v>Magic Mouth</v>
      </c>
      <c r="C223" s="1" t="s">
        <v>1452</v>
      </c>
    </row>
    <row r="224" spans="1:3" ht="12.75" customHeight="1" x14ac:dyDescent="0.25">
      <c r="A224" t="s">
        <v>304</v>
      </c>
      <c r="B224" t="str">
        <f t="shared" si="3"/>
        <v>Magic Weapon</v>
      </c>
      <c r="C224" s="1" t="s">
        <v>1453</v>
      </c>
    </row>
    <row r="225" spans="1:3" ht="12.75" customHeight="1" x14ac:dyDescent="0.25">
      <c r="A225" t="s">
        <v>305</v>
      </c>
      <c r="B225" t="str">
        <f t="shared" si="3"/>
        <v>Major Image</v>
      </c>
      <c r="C225" s="1" t="s">
        <v>1454</v>
      </c>
    </row>
    <row r="226" spans="1:3" ht="12.75" customHeight="1" x14ac:dyDescent="0.25">
      <c r="A226" t="s">
        <v>306</v>
      </c>
      <c r="B226" t="str">
        <f t="shared" si="3"/>
        <v>Mass Cure Wounds</v>
      </c>
      <c r="C226" s="1" t="s">
        <v>1455</v>
      </c>
    </row>
    <row r="227" spans="1:3" ht="12.75" customHeight="1" x14ac:dyDescent="0.25">
      <c r="A227" t="s">
        <v>307</v>
      </c>
      <c r="B227" t="str">
        <f t="shared" si="3"/>
        <v>Mass Heal</v>
      </c>
      <c r="C227" s="1" t="s">
        <v>1456</v>
      </c>
    </row>
    <row r="228" spans="1:3" ht="12.75" customHeight="1" x14ac:dyDescent="0.25">
      <c r="A228" t="s">
        <v>309</v>
      </c>
      <c r="B228" t="str">
        <f t="shared" si="3"/>
        <v>Mass Healing Word</v>
      </c>
      <c r="C228" s="1" t="s">
        <v>1457</v>
      </c>
    </row>
    <row r="229" spans="1:3" ht="12.75" customHeight="1" x14ac:dyDescent="0.25">
      <c r="A229" t="s">
        <v>310</v>
      </c>
      <c r="B229" t="str">
        <f t="shared" si="3"/>
        <v>Mass Suggestion</v>
      </c>
      <c r="C229" s="1" t="s">
        <v>1458</v>
      </c>
    </row>
    <row r="230" spans="1:3" ht="12.75" customHeight="1" x14ac:dyDescent="0.25">
      <c r="A230" t="s">
        <v>312</v>
      </c>
      <c r="B230" t="str">
        <f t="shared" si="3"/>
        <v>Maze</v>
      </c>
      <c r="C230" s="1" t="s">
        <v>1459</v>
      </c>
    </row>
    <row r="231" spans="1:3" ht="12.75" customHeight="1" x14ac:dyDescent="0.25">
      <c r="A231" t="s">
        <v>314</v>
      </c>
      <c r="B231" t="str">
        <f t="shared" si="3"/>
        <v>Meld into Stone</v>
      </c>
      <c r="C231" s="1" t="s">
        <v>1460</v>
      </c>
    </row>
    <row r="232" spans="1:3" ht="12.75" customHeight="1" x14ac:dyDescent="0.25">
      <c r="A232" t="s">
        <v>315</v>
      </c>
      <c r="B232" t="str">
        <f t="shared" si="3"/>
        <v>Melf's Acid Arrow</v>
      </c>
      <c r="C232" s="1" t="s">
        <v>1461</v>
      </c>
    </row>
    <row r="233" spans="1:3" ht="12.75" customHeight="1" x14ac:dyDescent="0.25">
      <c r="A233" t="s">
        <v>317</v>
      </c>
      <c r="B233" t="str">
        <f t="shared" si="3"/>
        <v>Mending</v>
      </c>
      <c r="C233" s="1" t="s">
        <v>1462</v>
      </c>
    </row>
    <row r="234" spans="1:3" ht="12.75" customHeight="1" x14ac:dyDescent="0.25">
      <c r="A234" t="s">
        <v>319</v>
      </c>
      <c r="B234" t="str">
        <f t="shared" si="3"/>
        <v>Message</v>
      </c>
      <c r="C234" s="1" t="s">
        <v>1463</v>
      </c>
    </row>
    <row r="235" spans="1:3" ht="12.75" customHeight="1" x14ac:dyDescent="0.25">
      <c r="A235" t="s">
        <v>321</v>
      </c>
      <c r="B235" t="str">
        <f t="shared" si="3"/>
        <v>Meteor Swarm</v>
      </c>
      <c r="C235" s="1" t="s">
        <v>1464</v>
      </c>
    </row>
    <row r="236" spans="1:3" ht="12.75" customHeight="1" x14ac:dyDescent="0.25">
      <c r="A236" t="s">
        <v>323</v>
      </c>
      <c r="B236" t="str">
        <f t="shared" si="3"/>
        <v>Mind Blank</v>
      </c>
      <c r="C236" s="1" t="s">
        <v>1465</v>
      </c>
    </row>
    <row r="237" spans="1:3" ht="12.75" customHeight="1" x14ac:dyDescent="0.25">
      <c r="A237" t="s">
        <v>325</v>
      </c>
      <c r="B237" t="str">
        <f t="shared" si="3"/>
        <v>Mind Sliver</v>
      </c>
      <c r="C237" s="1" t="s">
        <v>1466</v>
      </c>
    </row>
    <row r="238" spans="1:3" ht="12.75" customHeight="1" x14ac:dyDescent="0.25">
      <c r="A238" t="s">
        <v>327</v>
      </c>
      <c r="B238" t="str">
        <f t="shared" si="3"/>
        <v>Mind Spike</v>
      </c>
      <c r="C238" s="1" t="s">
        <v>1467</v>
      </c>
    </row>
    <row r="239" spans="1:3" ht="12.75" customHeight="1" x14ac:dyDescent="0.25">
      <c r="A239" t="s">
        <v>328</v>
      </c>
      <c r="B239" t="str">
        <f t="shared" si="3"/>
        <v>Minor Illusion</v>
      </c>
      <c r="C239" s="1" t="s">
        <v>1468</v>
      </c>
    </row>
    <row r="240" spans="1:3" ht="12.75" customHeight="1" x14ac:dyDescent="0.25">
      <c r="A240" t="s">
        <v>330</v>
      </c>
      <c r="B240" t="str">
        <f t="shared" si="3"/>
        <v>Mirage Arcane</v>
      </c>
      <c r="C240" s="1" t="s">
        <v>1469</v>
      </c>
    </row>
    <row r="241" spans="1:3" ht="12.75" customHeight="1" x14ac:dyDescent="0.25">
      <c r="A241" t="s">
        <v>332</v>
      </c>
      <c r="B241" t="str">
        <f t="shared" si="3"/>
        <v>Mirror Image</v>
      </c>
      <c r="C241" s="1" t="s">
        <v>1470</v>
      </c>
    </row>
    <row r="242" spans="1:3" ht="12.75" customHeight="1" x14ac:dyDescent="0.25">
      <c r="A242" t="s">
        <v>334</v>
      </c>
      <c r="B242" t="str">
        <f t="shared" si="3"/>
        <v>Mislead</v>
      </c>
      <c r="C242" s="1" t="s">
        <v>1471</v>
      </c>
    </row>
    <row r="243" spans="1:3" ht="12.75" customHeight="1" x14ac:dyDescent="0.25">
      <c r="A243" t="s">
        <v>335</v>
      </c>
      <c r="B243" t="str">
        <f t="shared" si="3"/>
        <v>Misty Step</v>
      </c>
      <c r="C243" s="1" t="s">
        <v>1472</v>
      </c>
    </row>
    <row r="244" spans="1:3" ht="12.75" customHeight="1" x14ac:dyDescent="0.25">
      <c r="A244" t="s">
        <v>336</v>
      </c>
      <c r="B244" t="str">
        <f t="shared" si="3"/>
        <v>Modify Memory</v>
      </c>
      <c r="C244" s="1" t="s">
        <v>1473</v>
      </c>
    </row>
    <row r="245" spans="1:3" ht="12.75" customHeight="1" x14ac:dyDescent="0.25">
      <c r="A245" t="s">
        <v>338</v>
      </c>
      <c r="B245" t="str">
        <f t="shared" si="3"/>
        <v>Moonbeam</v>
      </c>
      <c r="C245" s="1" t="s">
        <v>1474</v>
      </c>
    </row>
    <row r="246" spans="1:3" ht="12.75" customHeight="1" x14ac:dyDescent="0.25">
      <c r="A246" t="s">
        <v>339</v>
      </c>
      <c r="B246" t="str">
        <f t="shared" si="3"/>
        <v>Mordenkainen's Faithful Hound</v>
      </c>
      <c r="C246" s="1" t="s">
        <v>1475</v>
      </c>
    </row>
    <row r="247" spans="1:3" ht="12.75" customHeight="1" x14ac:dyDescent="0.25">
      <c r="A247" t="s">
        <v>341</v>
      </c>
      <c r="B247" t="str">
        <f t="shared" si="3"/>
        <v>Mordenkainen's Magnificent Mansion</v>
      </c>
      <c r="C247" s="1" t="s">
        <v>1476</v>
      </c>
    </row>
    <row r="248" spans="1:3" ht="12.75" customHeight="1" x14ac:dyDescent="0.25">
      <c r="A248" t="s">
        <v>343</v>
      </c>
      <c r="B248" t="str">
        <f t="shared" si="3"/>
        <v>Mordenkainen's Private Sanctum</v>
      </c>
      <c r="C248" s="1" t="s">
        <v>1477</v>
      </c>
    </row>
    <row r="249" spans="1:3" ht="12.75" customHeight="1" x14ac:dyDescent="0.25">
      <c r="A249" t="s">
        <v>345</v>
      </c>
      <c r="B249" t="str">
        <f t="shared" si="3"/>
        <v>Mordenkainen's Sword</v>
      </c>
      <c r="C249" s="1" t="s">
        <v>1478</v>
      </c>
    </row>
    <row r="250" spans="1:3" ht="12.75" customHeight="1" x14ac:dyDescent="0.25">
      <c r="A250" t="s">
        <v>347</v>
      </c>
      <c r="B250" t="str">
        <f t="shared" si="3"/>
        <v>Move Earth</v>
      </c>
      <c r="C250" s="1" t="s">
        <v>1479</v>
      </c>
    </row>
    <row r="251" spans="1:3" ht="12.75" customHeight="1" x14ac:dyDescent="0.25">
      <c r="A251" t="s">
        <v>349</v>
      </c>
      <c r="B251" t="str">
        <f t="shared" si="3"/>
        <v>Nondetection</v>
      </c>
      <c r="C251" s="1" t="s">
        <v>1480</v>
      </c>
    </row>
    <row r="252" spans="1:3" ht="12.75" customHeight="1" x14ac:dyDescent="0.25">
      <c r="A252" t="s">
        <v>351</v>
      </c>
      <c r="B252" t="str">
        <f t="shared" si="3"/>
        <v>Nystul's Magic Aura</v>
      </c>
      <c r="C252" s="1" t="s">
        <v>1481</v>
      </c>
    </row>
    <row r="253" spans="1:3" ht="12.75" customHeight="1" x14ac:dyDescent="0.25">
      <c r="A253" t="s">
        <v>353</v>
      </c>
      <c r="B253" t="str">
        <f t="shared" si="3"/>
        <v>Otiluke's Freezing Sphere</v>
      </c>
      <c r="C253" s="1" t="s">
        <v>1482</v>
      </c>
    </row>
    <row r="254" spans="1:3" ht="12.75" customHeight="1" x14ac:dyDescent="0.25">
      <c r="A254" t="s">
        <v>355</v>
      </c>
      <c r="B254" t="str">
        <f t="shared" si="3"/>
        <v>Otiluke's Resilient Sphere</v>
      </c>
      <c r="C254" s="1" t="s">
        <v>1483</v>
      </c>
    </row>
    <row r="255" spans="1:3" ht="12.75" customHeight="1" x14ac:dyDescent="0.25">
      <c r="A255" t="s">
        <v>357</v>
      </c>
      <c r="B255" t="str">
        <f t="shared" si="3"/>
        <v>Otto's Irresistible Dance</v>
      </c>
      <c r="C255" s="1" t="s">
        <v>1484</v>
      </c>
    </row>
    <row r="256" spans="1:3" ht="12.75" customHeight="1" x14ac:dyDescent="0.25">
      <c r="A256" t="s">
        <v>359</v>
      </c>
      <c r="B256" t="str">
        <f t="shared" si="3"/>
        <v>Pass without Trace</v>
      </c>
      <c r="C256" s="1" t="s">
        <v>1485</v>
      </c>
    </row>
    <row r="257" spans="1:3" ht="12.75" customHeight="1" x14ac:dyDescent="0.25">
      <c r="A257" t="s">
        <v>361</v>
      </c>
      <c r="B257" t="str">
        <f t="shared" si="3"/>
        <v>Passwall</v>
      </c>
      <c r="C257" s="1" t="s">
        <v>1486</v>
      </c>
    </row>
    <row r="258" spans="1:3" ht="12.75" customHeight="1" x14ac:dyDescent="0.25">
      <c r="A258" t="s">
        <v>363</v>
      </c>
      <c r="B258" t="str">
        <f t="shared" si="3"/>
        <v>Phantasmal Force</v>
      </c>
      <c r="C258" s="1" t="s">
        <v>1487</v>
      </c>
    </row>
    <row r="259" spans="1:3" ht="12.75" customHeight="1" x14ac:dyDescent="0.25">
      <c r="A259" t="s">
        <v>365</v>
      </c>
      <c r="B259" t="str">
        <f t="shared" ref="B259:B322" si="4">SUBSTITUTE(A259,".md","")</f>
        <v>Phantasmal Killer</v>
      </c>
      <c r="C259" s="1" t="s">
        <v>1488</v>
      </c>
    </row>
    <row r="260" spans="1:3" ht="12.75" customHeight="1" x14ac:dyDescent="0.25">
      <c r="A260" t="s">
        <v>367</v>
      </c>
      <c r="B260" t="str">
        <f t="shared" si="4"/>
        <v>Phantom Steed</v>
      </c>
      <c r="C260" s="1" t="s">
        <v>1489</v>
      </c>
    </row>
    <row r="261" spans="1:3" ht="12.75" customHeight="1" x14ac:dyDescent="0.25">
      <c r="A261" t="s">
        <v>368</v>
      </c>
      <c r="B261" t="str">
        <f t="shared" si="4"/>
        <v>Planar Ally</v>
      </c>
      <c r="C261" s="1" t="s">
        <v>1490</v>
      </c>
    </row>
    <row r="262" spans="1:3" ht="12.75" customHeight="1" x14ac:dyDescent="0.25">
      <c r="A262" t="s">
        <v>370</v>
      </c>
      <c r="B262" t="str">
        <f t="shared" si="4"/>
        <v>Planar Binding</v>
      </c>
      <c r="C262" s="1" t="s">
        <v>1491</v>
      </c>
    </row>
    <row r="263" spans="1:3" ht="12.75" customHeight="1" x14ac:dyDescent="0.25">
      <c r="A263" t="s">
        <v>372</v>
      </c>
      <c r="B263" t="str">
        <f t="shared" si="4"/>
        <v>Plane Shift</v>
      </c>
      <c r="C263" s="1" t="s">
        <v>1492</v>
      </c>
    </row>
    <row r="264" spans="1:3" ht="12.75" customHeight="1" x14ac:dyDescent="0.25">
      <c r="A264" t="s">
        <v>374</v>
      </c>
      <c r="B264" t="str">
        <f t="shared" si="4"/>
        <v>Plant Growth</v>
      </c>
      <c r="C264" s="1" t="s">
        <v>1493</v>
      </c>
    </row>
    <row r="265" spans="1:3" ht="12.75" customHeight="1" x14ac:dyDescent="0.25">
      <c r="A265" t="s">
        <v>376</v>
      </c>
      <c r="B265" t="str">
        <f t="shared" si="4"/>
        <v>Poison Spray</v>
      </c>
      <c r="C265" s="1" t="s">
        <v>1494</v>
      </c>
    </row>
    <row r="266" spans="1:3" ht="12.75" customHeight="1" x14ac:dyDescent="0.25">
      <c r="A266" t="s">
        <v>378</v>
      </c>
      <c r="B266" t="str">
        <f t="shared" si="4"/>
        <v>Polymorph</v>
      </c>
      <c r="C266" s="1" t="s">
        <v>1495</v>
      </c>
    </row>
    <row r="267" spans="1:3" ht="12.75" customHeight="1" x14ac:dyDescent="0.25">
      <c r="A267" t="s">
        <v>380</v>
      </c>
      <c r="B267" t="str">
        <f t="shared" si="4"/>
        <v>Power Word Fortify</v>
      </c>
      <c r="C267" s="1" t="s">
        <v>1496</v>
      </c>
    </row>
    <row r="268" spans="1:3" ht="12.75" customHeight="1" x14ac:dyDescent="0.25">
      <c r="A268" t="s">
        <v>382</v>
      </c>
      <c r="B268" t="str">
        <f t="shared" si="4"/>
        <v>Power Word Heal</v>
      </c>
      <c r="C268" s="1" t="s">
        <v>1497</v>
      </c>
    </row>
    <row r="269" spans="1:3" ht="12.75" customHeight="1" x14ac:dyDescent="0.25">
      <c r="A269" t="s">
        <v>384</v>
      </c>
      <c r="B269" t="str">
        <f t="shared" si="4"/>
        <v>Power Word Kill</v>
      </c>
      <c r="C269" s="1" t="s">
        <v>1498</v>
      </c>
    </row>
    <row r="270" spans="1:3" ht="12.75" customHeight="1" x14ac:dyDescent="0.25">
      <c r="A270" t="s">
        <v>386</v>
      </c>
      <c r="B270" t="str">
        <f t="shared" si="4"/>
        <v>Power Word Stun</v>
      </c>
      <c r="C270" s="1" t="s">
        <v>1499</v>
      </c>
    </row>
    <row r="271" spans="1:3" ht="12.75" customHeight="1" x14ac:dyDescent="0.25">
      <c r="A271" t="s">
        <v>388</v>
      </c>
      <c r="B271" t="str">
        <f t="shared" si="4"/>
        <v>Prayer of Healing</v>
      </c>
      <c r="C271" s="1" t="s">
        <v>1500</v>
      </c>
    </row>
    <row r="272" spans="1:3" ht="12.75" customHeight="1" x14ac:dyDescent="0.25">
      <c r="A272" t="s">
        <v>390</v>
      </c>
      <c r="B272" t="str">
        <f t="shared" si="4"/>
        <v>Prestidigitation</v>
      </c>
      <c r="C272" s="1" t="s">
        <v>1501</v>
      </c>
    </row>
    <row r="273" spans="1:3" ht="12.75" customHeight="1" x14ac:dyDescent="0.25">
      <c r="A273" t="s">
        <v>392</v>
      </c>
      <c r="B273" t="str">
        <f t="shared" si="4"/>
        <v>Prismatic Spray</v>
      </c>
      <c r="C273" s="1" t="s">
        <v>1502</v>
      </c>
    </row>
    <row r="274" spans="1:3" ht="12.75" customHeight="1" x14ac:dyDescent="0.25">
      <c r="A274" t="s">
        <v>394</v>
      </c>
      <c r="B274" t="str">
        <f t="shared" si="4"/>
        <v>Prismatic Wall</v>
      </c>
      <c r="C274" s="1" t="s">
        <v>1503</v>
      </c>
    </row>
    <row r="275" spans="1:3" ht="12.75" customHeight="1" x14ac:dyDescent="0.25">
      <c r="A275" t="s">
        <v>396</v>
      </c>
      <c r="B275" t="str">
        <f t="shared" si="4"/>
        <v>Produce Flame</v>
      </c>
      <c r="C275" s="1" t="s">
        <v>1504</v>
      </c>
    </row>
    <row r="276" spans="1:3" ht="12.75" customHeight="1" x14ac:dyDescent="0.25">
      <c r="A276" t="s">
        <v>397</v>
      </c>
      <c r="B276" t="str">
        <f t="shared" si="4"/>
        <v>Programmed Illusion</v>
      </c>
      <c r="C276" s="1" t="s">
        <v>1505</v>
      </c>
    </row>
    <row r="277" spans="1:3" ht="12.75" customHeight="1" x14ac:dyDescent="0.25">
      <c r="A277" t="s">
        <v>399</v>
      </c>
      <c r="B277" t="str">
        <f t="shared" si="4"/>
        <v>Project Image</v>
      </c>
      <c r="C277" s="1" t="s">
        <v>1506</v>
      </c>
    </row>
    <row r="278" spans="1:3" ht="12.75" customHeight="1" x14ac:dyDescent="0.25">
      <c r="A278" t="s">
        <v>401</v>
      </c>
      <c r="B278" t="str">
        <f t="shared" si="4"/>
        <v>Protection from Energy</v>
      </c>
      <c r="C278" s="1" t="s">
        <v>1507</v>
      </c>
    </row>
    <row r="279" spans="1:3" ht="12.75" customHeight="1" x14ac:dyDescent="0.25">
      <c r="A279" t="s">
        <v>403</v>
      </c>
      <c r="B279" t="str">
        <f t="shared" si="4"/>
        <v>Protection from Evil and Good</v>
      </c>
      <c r="C279" s="1" t="s">
        <v>1508</v>
      </c>
    </row>
    <row r="280" spans="1:3" ht="12.75" customHeight="1" x14ac:dyDescent="0.25">
      <c r="A280" t="s">
        <v>405</v>
      </c>
      <c r="B280" t="str">
        <f t="shared" si="4"/>
        <v>Protection from Poison</v>
      </c>
      <c r="C280" s="1" t="s">
        <v>1509</v>
      </c>
    </row>
    <row r="281" spans="1:3" ht="12.75" customHeight="1" x14ac:dyDescent="0.25">
      <c r="A281" t="s">
        <v>407</v>
      </c>
      <c r="B281" t="str">
        <f t="shared" si="4"/>
        <v>Purify Food and Drink</v>
      </c>
      <c r="C281" s="1" t="s">
        <v>1510</v>
      </c>
    </row>
    <row r="282" spans="1:3" ht="12.75" customHeight="1" x14ac:dyDescent="0.25">
      <c r="A282" t="s">
        <v>408</v>
      </c>
      <c r="B282" t="str">
        <f t="shared" si="4"/>
        <v>Raise Dead</v>
      </c>
      <c r="C282" s="1" t="s">
        <v>1511</v>
      </c>
    </row>
    <row r="283" spans="1:3" ht="12.75" customHeight="1" x14ac:dyDescent="0.25">
      <c r="A283" t="s">
        <v>410</v>
      </c>
      <c r="B283" t="str">
        <f t="shared" si="4"/>
        <v>Rary's Telepathic Bond</v>
      </c>
      <c r="C283" s="1" t="s">
        <v>1512</v>
      </c>
    </row>
    <row r="284" spans="1:3" ht="12.75" customHeight="1" x14ac:dyDescent="0.25">
      <c r="A284" t="s">
        <v>411</v>
      </c>
      <c r="B284" t="str">
        <f t="shared" si="4"/>
        <v>Ray of Enfeeblement</v>
      </c>
      <c r="C284" s="1" t="s">
        <v>1513</v>
      </c>
    </row>
    <row r="285" spans="1:3" ht="12.75" customHeight="1" x14ac:dyDescent="0.25">
      <c r="A285" t="s">
        <v>413</v>
      </c>
      <c r="B285" t="str">
        <f t="shared" si="4"/>
        <v>Ray of Frost</v>
      </c>
      <c r="C285" s="1" t="s">
        <v>1514</v>
      </c>
    </row>
    <row r="286" spans="1:3" ht="12.75" customHeight="1" x14ac:dyDescent="0.25">
      <c r="A286" t="s">
        <v>415</v>
      </c>
      <c r="B286" t="str">
        <f t="shared" si="4"/>
        <v>Ray of Sickness</v>
      </c>
      <c r="C286" s="1" t="s">
        <v>1515</v>
      </c>
    </row>
    <row r="287" spans="1:3" ht="12.75" customHeight="1" x14ac:dyDescent="0.25">
      <c r="A287" t="s">
        <v>417</v>
      </c>
      <c r="B287" t="str">
        <f t="shared" si="4"/>
        <v>Regenerate</v>
      </c>
      <c r="C287" s="1" t="s">
        <v>1516</v>
      </c>
    </row>
    <row r="288" spans="1:3" ht="12.75" customHeight="1" x14ac:dyDescent="0.25">
      <c r="A288" t="s">
        <v>419</v>
      </c>
      <c r="B288" t="str">
        <f t="shared" si="4"/>
        <v>Reincarnate</v>
      </c>
      <c r="C288" s="1" t="s">
        <v>1517</v>
      </c>
    </row>
    <row r="289" spans="1:3" ht="12.75" customHeight="1" x14ac:dyDescent="0.25">
      <c r="A289" t="s">
        <v>421</v>
      </c>
      <c r="B289" t="str">
        <f t="shared" si="4"/>
        <v>Remove Curse</v>
      </c>
      <c r="C289" s="1" t="s">
        <v>1518</v>
      </c>
    </row>
    <row r="290" spans="1:3" ht="12.75" customHeight="1" x14ac:dyDescent="0.25">
      <c r="A290" t="s">
        <v>423</v>
      </c>
      <c r="B290" t="str">
        <f t="shared" si="4"/>
        <v>Resistance</v>
      </c>
      <c r="C290" s="1" t="s">
        <v>1519</v>
      </c>
    </row>
    <row r="291" spans="1:3" ht="12.75" customHeight="1" x14ac:dyDescent="0.25">
      <c r="A291" t="s">
        <v>425</v>
      </c>
      <c r="B291" t="str">
        <f t="shared" si="4"/>
        <v>Resurrection</v>
      </c>
      <c r="C291" s="1" t="s">
        <v>1520</v>
      </c>
    </row>
    <row r="292" spans="1:3" ht="12.75" customHeight="1" x14ac:dyDescent="0.25">
      <c r="A292" t="s">
        <v>427</v>
      </c>
      <c r="B292" t="str">
        <f t="shared" si="4"/>
        <v>Reverse Gravity</v>
      </c>
      <c r="C292" s="1" t="s">
        <v>1521</v>
      </c>
    </row>
    <row r="293" spans="1:3" ht="12.75" customHeight="1" x14ac:dyDescent="0.25">
      <c r="A293" t="s">
        <v>429</v>
      </c>
      <c r="B293" t="str">
        <f t="shared" si="4"/>
        <v>Revivify</v>
      </c>
      <c r="C293" s="1" t="s">
        <v>1522</v>
      </c>
    </row>
    <row r="294" spans="1:3" ht="12.75" customHeight="1" x14ac:dyDescent="0.25">
      <c r="A294" t="s">
        <v>431</v>
      </c>
      <c r="B294" t="str">
        <f t="shared" si="4"/>
        <v>Rope Trick</v>
      </c>
      <c r="C294" s="1" t="s">
        <v>1523</v>
      </c>
    </row>
    <row r="295" spans="1:3" ht="12.75" customHeight="1" x14ac:dyDescent="0.25">
      <c r="A295" t="s">
        <v>433</v>
      </c>
      <c r="B295" t="str">
        <f t="shared" si="4"/>
        <v>Sacred Flame</v>
      </c>
      <c r="C295" s="1" t="s">
        <v>1524</v>
      </c>
    </row>
    <row r="296" spans="1:3" ht="12.75" customHeight="1" x14ac:dyDescent="0.25">
      <c r="A296" t="s">
        <v>435</v>
      </c>
      <c r="B296" t="str">
        <f t="shared" si="4"/>
        <v>Sanctuary</v>
      </c>
      <c r="C296" s="1" t="s">
        <v>1525</v>
      </c>
    </row>
    <row r="297" spans="1:3" ht="12.75" customHeight="1" x14ac:dyDescent="0.25">
      <c r="A297" t="s">
        <v>436</v>
      </c>
      <c r="B297" t="str">
        <f t="shared" si="4"/>
        <v>Scorching Ray</v>
      </c>
      <c r="C297" s="1" t="s">
        <v>1526</v>
      </c>
    </row>
    <row r="298" spans="1:3" ht="12.75" customHeight="1" x14ac:dyDescent="0.25">
      <c r="A298" t="s">
        <v>438</v>
      </c>
      <c r="B298" t="str">
        <f t="shared" si="4"/>
        <v>Scrying</v>
      </c>
      <c r="C298" s="1" t="s">
        <v>1527</v>
      </c>
    </row>
    <row r="299" spans="1:3" ht="12.75" customHeight="1" x14ac:dyDescent="0.25">
      <c r="A299" t="s">
        <v>440</v>
      </c>
      <c r="B299" t="str">
        <f t="shared" si="4"/>
        <v>Searing Smite</v>
      </c>
      <c r="C299" s="1" t="s">
        <v>1528</v>
      </c>
    </row>
    <row r="300" spans="1:3" ht="12.75" customHeight="1" x14ac:dyDescent="0.25">
      <c r="A300" t="s">
        <v>441</v>
      </c>
      <c r="B300" t="str">
        <f t="shared" si="4"/>
        <v>See Invisibility</v>
      </c>
      <c r="C300" s="1" t="s">
        <v>1529</v>
      </c>
    </row>
    <row r="301" spans="1:3" ht="12.75" customHeight="1" x14ac:dyDescent="0.25">
      <c r="A301" t="s">
        <v>443</v>
      </c>
      <c r="B301" t="str">
        <f t="shared" si="4"/>
        <v>Seeming</v>
      </c>
      <c r="C301" s="1" t="s">
        <v>1530</v>
      </c>
    </row>
    <row r="302" spans="1:3" ht="12.75" customHeight="1" x14ac:dyDescent="0.25">
      <c r="A302" t="s">
        <v>445</v>
      </c>
      <c r="B302" t="str">
        <f t="shared" si="4"/>
        <v>Sending</v>
      </c>
      <c r="C302" s="1" t="s">
        <v>1531</v>
      </c>
    </row>
    <row r="303" spans="1:3" ht="12.75" customHeight="1" x14ac:dyDescent="0.25">
      <c r="A303" t="s">
        <v>447</v>
      </c>
      <c r="B303" t="str">
        <f t="shared" si="4"/>
        <v>Sequester</v>
      </c>
      <c r="C303" s="1" t="s">
        <v>1532</v>
      </c>
    </row>
    <row r="304" spans="1:3" ht="12.75" customHeight="1" x14ac:dyDescent="0.25">
      <c r="A304" t="s">
        <v>449</v>
      </c>
      <c r="B304" t="str">
        <f t="shared" si="4"/>
        <v>Shapechange</v>
      </c>
      <c r="C304" s="1" t="s">
        <v>1533</v>
      </c>
    </row>
    <row r="305" spans="1:3" ht="12.75" customHeight="1" x14ac:dyDescent="0.25">
      <c r="A305" t="s">
        <v>450</v>
      </c>
      <c r="B305" t="str">
        <f t="shared" si="4"/>
        <v>Shatter</v>
      </c>
      <c r="C305" s="1" t="s">
        <v>1534</v>
      </c>
    </row>
    <row r="306" spans="1:3" ht="12.75" customHeight="1" x14ac:dyDescent="0.25">
      <c r="A306" t="s">
        <v>452</v>
      </c>
      <c r="B306" t="str">
        <f t="shared" si="4"/>
        <v>Shield of Faith</v>
      </c>
      <c r="C306" s="1" t="s">
        <v>1535</v>
      </c>
    </row>
    <row r="307" spans="1:3" ht="12.75" customHeight="1" x14ac:dyDescent="0.25">
      <c r="A307" t="s">
        <v>453</v>
      </c>
      <c r="B307" t="str">
        <f t="shared" si="4"/>
        <v>Shield</v>
      </c>
      <c r="C307" s="1" t="s">
        <v>1536</v>
      </c>
    </row>
    <row r="308" spans="1:3" ht="12.75" customHeight="1" x14ac:dyDescent="0.25">
      <c r="A308" t="s">
        <v>455</v>
      </c>
      <c r="B308" t="str">
        <f t="shared" si="4"/>
        <v>Shillelagh</v>
      </c>
      <c r="C308" s="1" t="s">
        <v>1537</v>
      </c>
    </row>
    <row r="309" spans="1:3" ht="12.75" customHeight="1" x14ac:dyDescent="0.25">
      <c r="A309" t="s">
        <v>456</v>
      </c>
      <c r="B309" t="str">
        <f t="shared" si="4"/>
        <v>Shining Smite</v>
      </c>
      <c r="C309" s="1" t="s">
        <v>1538</v>
      </c>
    </row>
    <row r="310" spans="1:3" ht="12.75" customHeight="1" x14ac:dyDescent="0.25">
      <c r="A310" t="s">
        <v>458</v>
      </c>
      <c r="B310" t="str">
        <f t="shared" si="4"/>
        <v>Shocking Grasp</v>
      </c>
      <c r="C310" s="1" t="s">
        <v>1539</v>
      </c>
    </row>
    <row r="311" spans="1:3" ht="12.75" customHeight="1" x14ac:dyDescent="0.25">
      <c r="A311" t="s">
        <v>459</v>
      </c>
      <c r="B311" t="str">
        <f t="shared" si="4"/>
        <v>Silence</v>
      </c>
      <c r="C311" s="1" t="s">
        <v>1540</v>
      </c>
    </row>
    <row r="312" spans="1:3" ht="12.75" customHeight="1" x14ac:dyDescent="0.25">
      <c r="A312" t="s">
        <v>461</v>
      </c>
      <c r="B312" t="str">
        <f t="shared" si="4"/>
        <v>Silent Image</v>
      </c>
      <c r="C312" s="1" t="s">
        <v>1541</v>
      </c>
    </row>
    <row r="313" spans="1:3" ht="12.75" customHeight="1" x14ac:dyDescent="0.25">
      <c r="A313" t="s">
        <v>463</v>
      </c>
      <c r="B313" t="str">
        <f t="shared" si="4"/>
        <v>Simulacrum</v>
      </c>
      <c r="C313" s="1" t="s">
        <v>1542</v>
      </c>
    </row>
    <row r="314" spans="1:3" ht="12.75" customHeight="1" x14ac:dyDescent="0.25">
      <c r="A314" t="s">
        <v>465</v>
      </c>
      <c r="B314" t="str">
        <f t="shared" si="4"/>
        <v>Sleep</v>
      </c>
      <c r="C314" s="1" t="s">
        <v>1543</v>
      </c>
    </row>
    <row r="315" spans="1:3" ht="12.75" customHeight="1" x14ac:dyDescent="0.25">
      <c r="A315" t="s">
        <v>466</v>
      </c>
      <c r="B315" t="str">
        <f t="shared" si="4"/>
        <v>Sleet Storm</v>
      </c>
      <c r="C315" s="1" t="s">
        <v>1544</v>
      </c>
    </row>
    <row r="316" spans="1:3" ht="12.75" customHeight="1" x14ac:dyDescent="0.25">
      <c r="A316" t="s">
        <v>467</v>
      </c>
      <c r="B316" t="str">
        <f t="shared" si="4"/>
        <v>Slow</v>
      </c>
      <c r="C316" s="1" t="s">
        <v>1545</v>
      </c>
    </row>
    <row r="317" spans="1:3" ht="12.75" customHeight="1" x14ac:dyDescent="0.25">
      <c r="A317" t="s">
        <v>469</v>
      </c>
      <c r="B317" t="str">
        <f t="shared" si="4"/>
        <v>Sorcerous Burst</v>
      </c>
      <c r="C317" s="1" t="s">
        <v>1546</v>
      </c>
    </row>
    <row r="318" spans="1:3" ht="12.75" customHeight="1" x14ac:dyDescent="0.25">
      <c r="A318" t="s">
        <v>471</v>
      </c>
      <c r="B318" t="str">
        <f t="shared" si="4"/>
        <v>Spare the Dying</v>
      </c>
      <c r="C318" s="1" t="s">
        <v>1547</v>
      </c>
    </row>
    <row r="319" spans="1:3" ht="12.75" customHeight="1" x14ac:dyDescent="0.25">
      <c r="A319" t="s">
        <v>473</v>
      </c>
      <c r="B319" t="str">
        <f t="shared" si="4"/>
        <v>Speak with Animals</v>
      </c>
      <c r="C319" s="1" t="s">
        <v>1548</v>
      </c>
    </row>
    <row r="320" spans="1:3" ht="12.75" customHeight="1" x14ac:dyDescent="0.25">
      <c r="A320" t="s">
        <v>474</v>
      </c>
      <c r="B320" t="str">
        <f t="shared" si="4"/>
        <v>Speak with Dead</v>
      </c>
      <c r="C320" s="1" t="s">
        <v>1549</v>
      </c>
    </row>
    <row r="321" spans="1:3" ht="12.75" customHeight="1" x14ac:dyDescent="0.25">
      <c r="A321" t="s">
        <v>476</v>
      </c>
      <c r="B321" t="str">
        <f t="shared" si="4"/>
        <v>Speak with Plants</v>
      </c>
      <c r="C321" s="1" t="s">
        <v>1550</v>
      </c>
    </row>
    <row r="322" spans="1:3" ht="12.75" customHeight="1" x14ac:dyDescent="0.25">
      <c r="A322" t="s">
        <v>478</v>
      </c>
      <c r="B322" t="str">
        <f t="shared" si="4"/>
        <v>Spider Climb</v>
      </c>
      <c r="C322" s="1" t="s">
        <v>1551</v>
      </c>
    </row>
    <row r="323" spans="1:3" ht="12.75" customHeight="1" x14ac:dyDescent="0.25">
      <c r="A323" t="s">
        <v>480</v>
      </c>
      <c r="B323" t="str">
        <f t="shared" ref="B323:B386" si="5">SUBSTITUTE(A323,".md","")</f>
        <v>Spike Growth</v>
      </c>
      <c r="C323" s="1" t="s">
        <v>1552</v>
      </c>
    </row>
    <row r="324" spans="1:3" ht="12.75" customHeight="1" x14ac:dyDescent="0.25">
      <c r="A324" t="s">
        <v>482</v>
      </c>
      <c r="B324" t="str">
        <f t="shared" si="5"/>
        <v>Spirit Guardians</v>
      </c>
      <c r="C324" s="1" t="s">
        <v>1553</v>
      </c>
    </row>
    <row r="325" spans="1:3" ht="12.75" customHeight="1" x14ac:dyDescent="0.25">
      <c r="A325" t="s">
        <v>484</v>
      </c>
      <c r="B325" t="str">
        <f t="shared" si="5"/>
        <v>Spiritual Weapon</v>
      </c>
      <c r="C325" s="1" t="s">
        <v>1554</v>
      </c>
    </row>
    <row r="326" spans="1:3" ht="12.75" customHeight="1" x14ac:dyDescent="0.25">
      <c r="A326" t="s">
        <v>485</v>
      </c>
      <c r="B326" t="str">
        <f t="shared" si="5"/>
        <v>Staggering Smite</v>
      </c>
      <c r="C326" s="1" t="s">
        <v>1555</v>
      </c>
    </row>
    <row r="327" spans="1:3" ht="12.75" customHeight="1" x14ac:dyDescent="0.25">
      <c r="A327" t="s">
        <v>487</v>
      </c>
      <c r="B327" t="str">
        <f t="shared" si="5"/>
        <v>Starry Wisp</v>
      </c>
      <c r="C327" s="1" t="s">
        <v>1556</v>
      </c>
    </row>
    <row r="328" spans="1:3" ht="12.75" customHeight="1" x14ac:dyDescent="0.25">
      <c r="A328" t="s">
        <v>489</v>
      </c>
      <c r="B328" t="str">
        <f t="shared" si="5"/>
        <v>Steel Wind Strike</v>
      </c>
      <c r="C328" s="1" t="s">
        <v>1557</v>
      </c>
    </row>
    <row r="329" spans="1:3" ht="12.75" customHeight="1" x14ac:dyDescent="0.25">
      <c r="A329" t="s">
        <v>491</v>
      </c>
      <c r="B329" t="str">
        <f t="shared" si="5"/>
        <v>Stinking Cloud</v>
      </c>
      <c r="C329" s="1" t="s">
        <v>1558</v>
      </c>
    </row>
    <row r="330" spans="1:3" ht="12.75" customHeight="1" x14ac:dyDescent="0.25">
      <c r="A330" t="s">
        <v>493</v>
      </c>
      <c r="B330" t="str">
        <f t="shared" si="5"/>
        <v>Stone Shape</v>
      </c>
      <c r="C330" s="1" t="s">
        <v>1559</v>
      </c>
    </row>
    <row r="331" spans="1:3" ht="12.75" customHeight="1" x14ac:dyDescent="0.25">
      <c r="A331" t="s">
        <v>495</v>
      </c>
      <c r="B331" t="str">
        <f t="shared" si="5"/>
        <v>Stoneskin</v>
      </c>
      <c r="C331" s="1" t="s">
        <v>1560</v>
      </c>
    </row>
    <row r="332" spans="1:3" ht="12.75" customHeight="1" x14ac:dyDescent="0.25">
      <c r="A332" t="s">
        <v>497</v>
      </c>
      <c r="B332" t="str">
        <f t="shared" si="5"/>
        <v>Storm of Vengeance</v>
      </c>
      <c r="C332" s="1" t="s">
        <v>1561</v>
      </c>
    </row>
    <row r="333" spans="1:3" ht="12.75" customHeight="1" x14ac:dyDescent="0.25">
      <c r="A333" t="s">
        <v>499</v>
      </c>
      <c r="B333" t="str">
        <f t="shared" si="5"/>
        <v>Suggestion</v>
      </c>
      <c r="C333" s="1" t="s">
        <v>1562</v>
      </c>
    </row>
    <row r="334" spans="1:3" ht="12.75" customHeight="1" x14ac:dyDescent="0.25">
      <c r="A334" t="s">
        <v>501</v>
      </c>
      <c r="B334" t="str">
        <f t="shared" si="5"/>
        <v>Summon Aberration</v>
      </c>
      <c r="C334" s="1" t="s">
        <v>1563</v>
      </c>
    </row>
    <row r="335" spans="1:3" ht="12.75" customHeight="1" x14ac:dyDescent="0.25">
      <c r="A335" t="s">
        <v>503</v>
      </c>
      <c r="B335" t="str">
        <f t="shared" si="5"/>
        <v>Summon Beast</v>
      </c>
      <c r="C335" s="1" t="s">
        <v>1564</v>
      </c>
    </row>
    <row r="336" spans="1:3" ht="12.75" customHeight="1" x14ac:dyDescent="0.25">
      <c r="A336" t="s">
        <v>505</v>
      </c>
      <c r="B336" t="str">
        <f t="shared" si="5"/>
        <v>Summon Celestial</v>
      </c>
      <c r="C336" s="1" t="s">
        <v>1565</v>
      </c>
    </row>
    <row r="337" spans="1:3" ht="12.75" customHeight="1" x14ac:dyDescent="0.25">
      <c r="A337" t="s">
        <v>507</v>
      </c>
      <c r="B337" t="str">
        <f t="shared" si="5"/>
        <v>Summon Construct</v>
      </c>
      <c r="C337" s="1" t="s">
        <v>1566</v>
      </c>
    </row>
    <row r="338" spans="1:3" ht="12.75" customHeight="1" x14ac:dyDescent="0.25">
      <c r="A338" t="s">
        <v>509</v>
      </c>
      <c r="B338" t="str">
        <f t="shared" si="5"/>
        <v>Summon Dragon</v>
      </c>
      <c r="C338" s="1" t="s">
        <v>1567</v>
      </c>
    </row>
    <row r="339" spans="1:3" ht="12.75" customHeight="1" x14ac:dyDescent="0.25">
      <c r="A339" t="s">
        <v>511</v>
      </c>
      <c r="B339" t="str">
        <f t="shared" si="5"/>
        <v>Summon Elemental</v>
      </c>
      <c r="C339" s="1" t="s">
        <v>1568</v>
      </c>
    </row>
    <row r="340" spans="1:3" ht="12.75" customHeight="1" x14ac:dyDescent="0.25">
      <c r="A340" t="s">
        <v>513</v>
      </c>
      <c r="B340" t="str">
        <f t="shared" si="5"/>
        <v>Summon Fey</v>
      </c>
      <c r="C340" s="1" t="s">
        <v>1569</v>
      </c>
    </row>
    <row r="341" spans="1:3" ht="12.75" customHeight="1" x14ac:dyDescent="0.25">
      <c r="A341" t="s">
        <v>515</v>
      </c>
      <c r="B341" t="str">
        <f t="shared" si="5"/>
        <v>Summon Fiend</v>
      </c>
      <c r="C341" s="1" t="s">
        <v>1570</v>
      </c>
    </row>
    <row r="342" spans="1:3" ht="12.75" customHeight="1" x14ac:dyDescent="0.25">
      <c r="A342" t="s">
        <v>517</v>
      </c>
      <c r="B342" t="str">
        <f t="shared" si="5"/>
        <v>Summon Undead</v>
      </c>
      <c r="C342" s="1" t="s">
        <v>1571</v>
      </c>
    </row>
    <row r="343" spans="1:3" ht="12.75" customHeight="1" x14ac:dyDescent="0.25">
      <c r="A343" t="s">
        <v>519</v>
      </c>
      <c r="B343" t="str">
        <f t="shared" si="5"/>
        <v>Sunbeam</v>
      </c>
      <c r="C343" s="1" t="s">
        <v>1572</v>
      </c>
    </row>
    <row r="344" spans="1:3" ht="12.75" customHeight="1" x14ac:dyDescent="0.25">
      <c r="A344" t="s">
        <v>521</v>
      </c>
      <c r="B344" t="str">
        <f t="shared" si="5"/>
        <v>Sunburst</v>
      </c>
      <c r="C344" s="1" t="s">
        <v>1573</v>
      </c>
    </row>
    <row r="345" spans="1:3" ht="12.75" customHeight="1" x14ac:dyDescent="0.25">
      <c r="A345" t="s">
        <v>523</v>
      </c>
      <c r="B345" t="str">
        <f t="shared" si="5"/>
        <v>Swift Quiver</v>
      </c>
      <c r="C345" s="1" t="s">
        <v>1574</v>
      </c>
    </row>
    <row r="346" spans="1:3" ht="12.75" customHeight="1" x14ac:dyDescent="0.25">
      <c r="A346" t="s">
        <v>524</v>
      </c>
      <c r="B346" t="str">
        <f t="shared" si="5"/>
        <v>Symbol</v>
      </c>
      <c r="C346" s="1" t="s">
        <v>1575</v>
      </c>
    </row>
    <row r="347" spans="1:3" ht="12.75" customHeight="1" x14ac:dyDescent="0.25">
      <c r="A347" t="s">
        <v>526</v>
      </c>
      <c r="B347" t="str">
        <f t="shared" si="5"/>
        <v>Synaptic Static</v>
      </c>
      <c r="C347" s="1" t="s">
        <v>1576</v>
      </c>
    </row>
    <row r="348" spans="1:3" ht="12.75" customHeight="1" x14ac:dyDescent="0.25">
      <c r="A348" t="s">
        <v>528</v>
      </c>
      <c r="B348" t="str">
        <f t="shared" si="5"/>
        <v>Tasha's Bubbling Cauldron</v>
      </c>
      <c r="C348" s="1" t="s">
        <v>1577</v>
      </c>
    </row>
    <row r="349" spans="1:3" ht="12.75" customHeight="1" x14ac:dyDescent="0.25">
      <c r="A349" t="s">
        <v>530</v>
      </c>
      <c r="B349" t="str">
        <f t="shared" si="5"/>
        <v>Tasha's Hideous Laughter</v>
      </c>
      <c r="C349" s="1" t="s">
        <v>1578</v>
      </c>
    </row>
    <row r="350" spans="1:3" ht="12.75" customHeight="1" x14ac:dyDescent="0.25">
      <c r="A350" t="s">
        <v>532</v>
      </c>
      <c r="B350" t="str">
        <f t="shared" si="5"/>
        <v>Telekinesis</v>
      </c>
      <c r="C350" s="1" t="s">
        <v>1579</v>
      </c>
    </row>
    <row r="351" spans="1:3" ht="12.75" customHeight="1" x14ac:dyDescent="0.25">
      <c r="A351" t="s">
        <v>534</v>
      </c>
      <c r="B351" t="str">
        <f t="shared" si="5"/>
        <v>Telepathy</v>
      </c>
      <c r="C351" s="1" t="s">
        <v>1580</v>
      </c>
    </row>
    <row r="352" spans="1:3" ht="12.75" customHeight="1" x14ac:dyDescent="0.25">
      <c r="A352" t="s">
        <v>536</v>
      </c>
      <c r="B352" t="str">
        <f t="shared" si="5"/>
        <v>Teleport</v>
      </c>
      <c r="C352" s="1" t="s">
        <v>1581</v>
      </c>
    </row>
    <row r="353" spans="1:3" ht="12.75" customHeight="1" x14ac:dyDescent="0.25">
      <c r="A353" t="s">
        <v>538</v>
      </c>
      <c r="B353" t="str">
        <f t="shared" si="5"/>
        <v>Teleportation Circle</v>
      </c>
      <c r="C353" s="1" t="s">
        <v>1582</v>
      </c>
    </row>
    <row r="354" spans="1:3" ht="12.75" customHeight="1" x14ac:dyDescent="0.25">
      <c r="A354" t="s">
        <v>540</v>
      </c>
      <c r="B354" t="str">
        <f t="shared" si="5"/>
        <v>Tenser's Floating Disk</v>
      </c>
      <c r="C354" s="1" t="s">
        <v>1583</v>
      </c>
    </row>
    <row r="355" spans="1:3" ht="12.75" customHeight="1" x14ac:dyDescent="0.25">
      <c r="A355" t="s">
        <v>542</v>
      </c>
      <c r="B355" t="str">
        <f t="shared" si="5"/>
        <v>Thaumaturgy</v>
      </c>
      <c r="C355" s="1" t="s">
        <v>1584</v>
      </c>
    </row>
    <row r="356" spans="1:3" ht="12.75" customHeight="1" x14ac:dyDescent="0.25">
      <c r="A356" t="s">
        <v>544</v>
      </c>
      <c r="B356" t="str">
        <f t="shared" si="5"/>
        <v>Thorn Whip</v>
      </c>
      <c r="C356" s="1" t="s">
        <v>1585</v>
      </c>
    </row>
    <row r="357" spans="1:3" ht="12.75" customHeight="1" x14ac:dyDescent="0.25">
      <c r="A357" t="s">
        <v>546</v>
      </c>
      <c r="B357" t="str">
        <f t="shared" si="5"/>
        <v>Thunderclap</v>
      </c>
      <c r="C357" s="1" t="s">
        <v>1586</v>
      </c>
    </row>
    <row r="358" spans="1:3" ht="12.75" customHeight="1" x14ac:dyDescent="0.25">
      <c r="A358" t="s">
        <v>548</v>
      </c>
      <c r="B358" t="str">
        <f t="shared" si="5"/>
        <v>Thunderous Smite</v>
      </c>
      <c r="C358" s="1" t="s">
        <v>1587</v>
      </c>
    </row>
    <row r="359" spans="1:3" ht="12.75" customHeight="1" x14ac:dyDescent="0.25">
      <c r="A359" t="s">
        <v>550</v>
      </c>
      <c r="B359" t="str">
        <f t="shared" si="5"/>
        <v>Thunderwave</v>
      </c>
      <c r="C359" s="1" t="s">
        <v>1588</v>
      </c>
    </row>
    <row r="360" spans="1:3" ht="12.75" customHeight="1" x14ac:dyDescent="0.25">
      <c r="A360" t="s">
        <v>552</v>
      </c>
      <c r="B360" t="str">
        <f t="shared" si="5"/>
        <v>Time Stop</v>
      </c>
      <c r="C360" s="1" t="s">
        <v>1589</v>
      </c>
    </row>
    <row r="361" spans="1:3" ht="12.75" customHeight="1" x14ac:dyDescent="0.25">
      <c r="A361" t="s">
        <v>554</v>
      </c>
      <c r="B361" t="str">
        <f t="shared" si="5"/>
        <v>Toll the Dead</v>
      </c>
      <c r="C361" s="1" t="s">
        <v>1590</v>
      </c>
    </row>
    <row r="362" spans="1:3" ht="12.75" customHeight="1" x14ac:dyDescent="0.25">
      <c r="A362" t="s">
        <v>556</v>
      </c>
      <c r="B362" t="str">
        <f t="shared" si="5"/>
        <v>Tongues</v>
      </c>
      <c r="C362" s="1" t="s">
        <v>1591</v>
      </c>
    </row>
    <row r="363" spans="1:3" ht="12.75" customHeight="1" x14ac:dyDescent="0.25">
      <c r="A363" t="s">
        <v>558</v>
      </c>
      <c r="B363" t="str">
        <f t="shared" si="5"/>
        <v>Transport via Plants</v>
      </c>
      <c r="C363" s="1" t="s">
        <v>1592</v>
      </c>
    </row>
    <row r="364" spans="1:3" ht="12.75" customHeight="1" x14ac:dyDescent="0.25">
      <c r="A364" t="s">
        <v>560</v>
      </c>
      <c r="B364" t="str">
        <f t="shared" si="5"/>
        <v>Tree Stride</v>
      </c>
      <c r="C364" s="1" t="s">
        <v>1593</v>
      </c>
    </row>
    <row r="365" spans="1:3" ht="12.75" customHeight="1" x14ac:dyDescent="0.25">
      <c r="A365" t="s">
        <v>562</v>
      </c>
      <c r="B365" t="str">
        <f t="shared" si="5"/>
        <v>True Polymorph</v>
      </c>
      <c r="C365" s="1" t="s">
        <v>1594</v>
      </c>
    </row>
    <row r="366" spans="1:3" ht="12.75" customHeight="1" x14ac:dyDescent="0.25">
      <c r="A366" t="s">
        <v>563</v>
      </c>
      <c r="B366" t="str">
        <f t="shared" si="5"/>
        <v>True Resurrection</v>
      </c>
      <c r="C366" s="1" t="s">
        <v>1595</v>
      </c>
    </row>
    <row r="367" spans="1:3" ht="12.75" customHeight="1" x14ac:dyDescent="0.25">
      <c r="A367" t="s">
        <v>565</v>
      </c>
      <c r="B367" t="str">
        <f t="shared" si="5"/>
        <v>True Seeing</v>
      </c>
      <c r="C367" s="1" t="s">
        <v>1596</v>
      </c>
    </row>
    <row r="368" spans="1:3" ht="12.75" customHeight="1" x14ac:dyDescent="0.25">
      <c r="A368" t="s">
        <v>567</v>
      </c>
      <c r="B368" t="str">
        <f t="shared" si="5"/>
        <v>True Strike</v>
      </c>
      <c r="C368" s="1" t="s">
        <v>1597</v>
      </c>
    </row>
    <row r="369" spans="1:3" ht="12.75" customHeight="1" x14ac:dyDescent="0.25">
      <c r="A369" t="s">
        <v>569</v>
      </c>
      <c r="B369" t="str">
        <f t="shared" si="5"/>
        <v>Tsunami</v>
      </c>
      <c r="C369" s="1" t="s">
        <v>1598</v>
      </c>
    </row>
    <row r="370" spans="1:3" ht="12.75" customHeight="1" x14ac:dyDescent="0.25">
      <c r="A370" t="s">
        <v>571</v>
      </c>
      <c r="B370" t="str">
        <f t="shared" si="5"/>
        <v>Unseen Servant</v>
      </c>
      <c r="C370" s="1" t="s">
        <v>1599</v>
      </c>
    </row>
    <row r="371" spans="1:3" ht="12.75" customHeight="1" x14ac:dyDescent="0.25">
      <c r="A371" t="s">
        <v>572</v>
      </c>
      <c r="B371" t="str">
        <f t="shared" si="5"/>
        <v>Vampiric Touch</v>
      </c>
      <c r="C371" s="1" t="s">
        <v>1600</v>
      </c>
    </row>
    <row r="372" spans="1:3" ht="12.75" customHeight="1" x14ac:dyDescent="0.25">
      <c r="A372" t="s">
        <v>574</v>
      </c>
      <c r="B372" t="str">
        <f t="shared" si="5"/>
        <v>Vicious Mockery</v>
      </c>
      <c r="C372" s="1" t="s">
        <v>1601</v>
      </c>
    </row>
    <row r="373" spans="1:3" ht="12.75" customHeight="1" x14ac:dyDescent="0.25">
      <c r="A373" t="s">
        <v>576</v>
      </c>
      <c r="B373" t="str">
        <f t="shared" si="5"/>
        <v>Vitriolic Sphere</v>
      </c>
      <c r="C373" s="1" t="s">
        <v>1602</v>
      </c>
    </row>
    <row r="374" spans="1:3" ht="12.75" customHeight="1" x14ac:dyDescent="0.25">
      <c r="A374" t="s">
        <v>578</v>
      </c>
      <c r="B374" t="str">
        <f t="shared" si="5"/>
        <v>Wall of Fire</v>
      </c>
      <c r="C374" s="1" t="s">
        <v>1603</v>
      </c>
    </row>
    <row r="375" spans="1:3" ht="12.75" customHeight="1" x14ac:dyDescent="0.25">
      <c r="A375" t="s">
        <v>580</v>
      </c>
      <c r="B375" t="str">
        <f t="shared" si="5"/>
        <v>Wall of Force</v>
      </c>
      <c r="C375" s="1" t="s">
        <v>1604</v>
      </c>
    </row>
    <row r="376" spans="1:3" ht="12.75" customHeight="1" x14ac:dyDescent="0.25">
      <c r="A376" t="s">
        <v>582</v>
      </c>
      <c r="B376" t="str">
        <f t="shared" si="5"/>
        <v>Wall of Ice</v>
      </c>
      <c r="C376" s="1" t="s">
        <v>1605</v>
      </c>
    </row>
    <row r="377" spans="1:3" ht="12.75" customHeight="1" x14ac:dyDescent="0.25">
      <c r="A377" t="s">
        <v>584</v>
      </c>
      <c r="B377" t="str">
        <f t="shared" si="5"/>
        <v>Wall of Stone</v>
      </c>
      <c r="C377" s="1" t="s">
        <v>1606</v>
      </c>
    </row>
    <row r="378" spans="1:3" ht="12.75" customHeight="1" x14ac:dyDescent="0.25">
      <c r="A378" t="s">
        <v>585</v>
      </c>
      <c r="B378" t="str">
        <f t="shared" si="5"/>
        <v>Wall of Thorns</v>
      </c>
      <c r="C378" s="1" t="s">
        <v>1607</v>
      </c>
    </row>
    <row r="379" spans="1:3" ht="12.75" customHeight="1" x14ac:dyDescent="0.25">
      <c r="A379" t="s">
        <v>587</v>
      </c>
      <c r="B379" t="str">
        <f t="shared" si="5"/>
        <v>Warding Bond</v>
      </c>
      <c r="C379" s="1" t="s">
        <v>1608</v>
      </c>
    </row>
    <row r="380" spans="1:3" ht="12.75" customHeight="1" x14ac:dyDescent="0.25">
      <c r="A380" t="s">
        <v>589</v>
      </c>
      <c r="B380" t="str">
        <f t="shared" si="5"/>
        <v>Water Breathing</v>
      </c>
      <c r="C380" s="1" t="s">
        <v>1609</v>
      </c>
    </row>
    <row r="381" spans="1:3" ht="12.75" customHeight="1" x14ac:dyDescent="0.25">
      <c r="A381" t="s">
        <v>591</v>
      </c>
      <c r="B381" t="str">
        <f t="shared" si="5"/>
        <v>Water Walk</v>
      </c>
      <c r="C381" s="1" t="s">
        <v>1610</v>
      </c>
    </row>
    <row r="382" spans="1:3" ht="12.75" customHeight="1" x14ac:dyDescent="0.25">
      <c r="A382" t="s">
        <v>593</v>
      </c>
      <c r="B382" t="str">
        <f t="shared" si="5"/>
        <v>Web</v>
      </c>
      <c r="C382" s="1" t="s">
        <v>1611</v>
      </c>
    </row>
    <row r="383" spans="1:3" ht="12.75" customHeight="1" x14ac:dyDescent="0.25">
      <c r="A383" t="s">
        <v>595</v>
      </c>
      <c r="B383" t="str">
        <f t="shared" si="5"/>
        <v>Weird</v>
      </c>
      <c r="C383" s="1" t="s">
        <v>1612</v>
      </c>
    </row>
    <row r="384" spans="1:3" ht="12.75" customHeight="1" x14ac:dyDescent="0.25">
      <c r="A384" t="s">
        <v>597</v>
      </c>
      <c r="B384" t="str">
        <f t="shared" si="5"/>
        <v>Wind Walk</v>
      </c>
      <c r="C384" s="1" t="s">
        <v>1613</v>
      </c>
    </row>
    <row r="385" spans="1:3" ht="12.75" customHeight="1" x14ac:dyDescent="0.25">
      <c r="A385" t="s">
        <v>599</v>
      </c>
      <c r="B385" t="str">
        <f t="shared" si="5"/>
        <v>Wind Wall</v>
      </c>
      <c r="C385" s="1" t="s">
        <v>1614</v>
      </c>
    </row>
    <row r="386" spans="1:3" ht="12.75" customHeight="1" x14ac:dyDescent="0.25">
      <c r="A386" t="s">
        <v>601</v>
      </c>
      <c r="B386" t="str">
        <f t="shared" si="5"/>
        <v>Wish</v>
      </c>
      <c r="C386" s="1" t="s">
        <v>1615</v>
      </c>
    </row>
    <row r="387" spans="1:3" ht="12.75" customHeight="1" x14ac:dyDescent="0.25">
      <c r="A387" t="s">
        <v>603</v>
      </c>
      <c r="B387" t="str">
        <f t="shared" ref="B387:B392" si="6">SUBSTITUTE(A387,".md","")</f>
        <v>Witch Bolt</v>
      </c>
      <c r="C387" s="1" t="s">
        <v>1616</v>
      </c>
    </row>
    <row r="388" spans="1:3" ht="12.75" customHeight="1" x14ac:dyDescent="0.25">
      <c r="A388" t="s">
        <v>605</v>
      </c>
      <c r="B388" t="str">
        <f t="shared" si="6"/>
        <v>Word of Radiance</v>
      </c>
      <c r="C388" s="1" t="s">
        <v>1617</v>
      </c>
    </row>
    <row r="389" spans="1:3" ht="12.75" customHeight="1" x14ac:dyDescent="0.25">
      <c r="A389" t="s">
        <v>607</v>
      </c>
      <c r="B389" t="str">
        <f t="shared" si="6"/>
        <v>Word of Recall</v>
      </c>
      <c r="C389" s="1" t="s">
        <v>1618</v>
      </c>
    </row>
    <row r="390" spans="1:3" ht="12.75" customHeight="1" x14ac:dyDescent="0.25">
      <c r="A390" t="s">
        <v>609</v>
      </c>
      <c r="B390" t="str">
        <f t="shared" si="6"/>
        <v>Wrathful Smite</v>
      </c>
      <c r="C390" s="1" t="s">
        <v>1619</v>
      </c>
    </row>
    <row r="391" spans="1:3" ht="12.75" customHeight="1" x14ac:dyDescent="0.25">
      <c r="A391" t="s">
        <v>611</v>
      </c>
      <c r="B391" t="str">
        <f t="shared" si="6"/>
        <v>Yolande's Regal Presence</v>
      </c>
      <c r="C391" s="1" t="s">
        <v>1620</v>
      </c>
    </row>
    <row r="392" spans="1:3" ht="12.75" customHeight="1" x14ac:dyDescent="0.25">
      <c r="A392" t="s">
        <v>613</v>
      </c>
      <c r="B392" t="str">
        <f t="shared" si="6"/>
        <v>Zone of Truth</v>
      </c>
      <c r="C392" s="1" t="s">
        <v>1621</v>
      </c>
    </row>
  </sheetData>
  <autoFilter ref="A1:C1" xr:uid="{7E7C180D-7F49-44B6-BFC6-45FEC3557551}">
    <sortState xmlns:xlrd2="http://schemas.microsoft.com/office/spreadsheetml/2017/richdata2" ref="A2:C392">
      <sortCondition ref="A1"/>
    </sortState>
  </autoFilter>
  <pageMargins left="0.7" right="0.7" top="0.75" bottom="0.75" header="0.3" footer="0.3"/>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BFD52-6512-40D7-8B2B-14F3D841CEBB}">
  <sheetPr codeName="Sheet12"/>
  <dimension ref="A1:G3"/>
  <sheetViews>
    <sheetView topLeftCell="A2" workbookViewId="0">
      <selection sqref="A1:B3"/>
    </sheetView>
  </sheetViews>
  <sheetFormatPr defaultRowHeight="15" x14ac:dyDescent="0.25"/>
  <cols>
    <col min="2" max="2" width="129.85546875" customWidth="1"/>
    <col min="4" max="4" width="156" customWidth="1"/>
  </cols>
  <sheetData>
    <row r="1" spans="1:7" ht="135" x14ac:dyDescent="0.25">
      <c r="A1" t="s">
        <v>1225</v>
      </c>
      <c r="B1" s="1" t="str">
        <f>D1&amp;CHAR(10)&amp;CHAR(10)&amp;G1</f>
        <v>level 7 - #evocation Casting Time: Action Range: 150 feet Components: V, S Duration: Instantaneous 
A storm of fire appears within range. The area of the storm consists of up to ten 10-foot Cubes, which you arrange as you like. Each Cube must be contiguous with at least one other Cube. Each creature in the area makes a Dexterity saving throw, taking 7d10 Fire damage on a failed save or half as much damage on a successful one. 
Flammable objects in the area that aren't being worn or carried start burning._x000D_
#Cleric #Druid #Sorcerer</v>
      </c>
      <c r="C1" t="str">
        <f>E1</f>
        <v>level 7</v>
      </c>
      <c r="D1" s="3" t="s">
        <v>1226</v>
      </c>
      <c r="E1" t="str">
        <f>LEFT(D1,7)</f>
        <v>level 7</v>
      </c>
      <c r="F1" t="str">
        <f>IF(AND(ISNUMBER(SEARCH("- ", D1)), NOT(ISNUMBER(SEARCH("- #", D1)))), "Match", "NULL")</f>
        <v>NULL</v>
      </c>
      <c r="G1" t="str">
        <f>_xlfn.TEXTJOIN(" ",TRUE,IF(IFERROR(MATCH(SUBSTITUTE(A1,".md",""),'Bard Spells'!A:A,0),0)&gt;0,"#Bard",""),IF(IFERROR(MATCH(SUBSTITUTE(A1,".md",""),'Cleric Spells'!A:A,0),0)&gt;0,"#Cleric",""),IF(IFERROR(MATCH(SUBSTITUTE(A1,".md",""),'Druid Spells'!A:A,0),0)&gt;0,"#Druid",""),IF(IFERROR(MATCH(SUBSTITUTE(A1,".md",""),'Paladin Spells'!A:A,0),0)&gt;0,"#Paladin",""),IF(IFERROR(MATCH(SUBSTITUTE(A1,".md",""),'Ranger Spells'!A:A,0),0)&gt;0,"#Ranger",""),IF(IFERROR(MATCH(SUBSTITUTE(A1,".md",""),'Sorcerer Spells'!A:A,0),0)&gt;0,"#Sorcerer",""),IF(IFERROR(MATCH(SUBSTITUTE(A1,".md",""),'Warlock Spells'!A:A,0),0)&gt;0,"#Warlock",""),IF(IFERROR(MATCH(SUBSTITUTE(A1,".md",""),'Wizard Spells'!A:A,0),0)&gt;0,"#Wizard",""))</f>
        <v>#Cleric #Druid #Sorcerer</v>
      </c>
    </row>
    <row r="2" spans="1:7" ht="135" x14ac:dyDescent="0.25">
      <c r="A2" t="s">
        <v>1227</v>
      </c>
      <c r="B2" s="1" t="str">
        <f t="shared" ref="B2:B3" si="0">D2&amp;CHAR(10)&amp;CHAR(10)&amp;G2</f>
        <v>level 1 - #divination ( #ritual ) Casting Time: 1 minute or Ritual Range: Touch Components: V, S, M (a pearl worth 100+ GP) Duration: Instantaneous 
You touch an object throughout the spell's casting. If the object is a magic item or some other magical object, you learn its properties and how to use them, whether it requires Attunement, and how many charges it has, if any. You learn whether any ongoing spells are affecting the item and what they are. If the item was created by a spell, you learn that spell's name. 
If you instead touch a creature throughout the casting, you learn which ongoing spells, if any, are currently affecting it_x000D_
#Bard #Wizard</v>
      </c>
      <c r="C2" t="str">
        <f t="shared" ref="C2:C3" si="1">E2</f>
        <v>level 1</v>
      </c>
      <c r="D2" s="3" t="s">
        <v>1228</v>
      </c>
      <c r="E2" t="str">
        <f t="shared" ref="E2:E3" si="2">LEFT(D2,7)</f>
        <v>level 1</v>
      </c>
      <c r="F2" t="str">
        <f t="shared" ref="F2:F3" si="3">IF(AND(ISNUMBER(SEARCH("- ", D2)), NOT(ISNUMBER(SEARCH("- #", D2)))), "Match", "NULL")</f>
        <v>NULL</v>
      </c>
      <c r="G2" t="str">
        <f>_xlfn.TEXTJOIN(" ",TRUE,IF(IFERROR(MATCH(SUBSTITUTE(A2,".md",""),'Bard Spells'!A:A,0),0)&gt;0,"#Bard",""),IF(IFERROR(MATCH(SUBSTITUTE(A2,".md",""),'Cleric Spells'!A:A,0),0)&gt;0,"#Cleric",""),IF(IFERROR(MATCH(SUBSTITUTE(A2,".md",""),'Druid Spells'!A:A,0),0)&gt;0,"#Druid",""),IF(IFERROR(MATCH(SUBSTITUTE(A2,".md",""),'Paladin Spells'!A:A,0),0)&gt;0,"#Paladin",""),IF(IFERROR(MATCH(SUBSTITUTE(A2,".md",""),'Ranger Spells'!A:A,0),0)&gt;0,"#Ranger",""),IF(IFERROR(MATCH(SUBSTITUTE(A2,".md",""),'Sorcerer Spells'!A:A,0),0)&gt;0,"#Sorcerer",""),IF(IFERROR(MATCH(SUBSTITUTE(A2,".md",""),'Warlock Spells'!A:A,0),0)&gt;0,"#Warlock",""),IF(IFERROR(MATCH(SUBSTITUTE(A2,".md",""),'Wizard Spells'!A:A,0),0)&gt;0,"#Wizard",""))</f>
        <v>#Bard #Wizard</v>
      </c>
    </row>
    <row r="3" spans="1:7" ht="135" x14ac:dyDescent="0.25">
      <c r="A3" t="s">
        <v>1229</v>
      </c>
      <c r="B3" s="1" t="str">
        <f t="shared" si="0"/>
        <v>level 1 - #illusion ( #ritual ) Casting Time: 1 minute or Ritual Range: Touch Components: S, M (ink worth 10+ GP, which the spell consumes) Duration: 10 days 
You write on parchment, paper, or another suitable material and imbue it with an illusion that lasts for the duration. To you and any creatures you designate when you cast the spell, the writing appears normal, seems to be written in your hand, and conveys whatever meaning you intended when you wrote the text. To all others, the writing appears as if it were written in an unknown or magical script that is unintelligible. Alternatively, the illusion can alter the meaning, handwriting, and language of the text, though the language must be one you know. If the spell is dispelled, the original script and the illusion both disappear. 
A creature that has Truesight can read the hidden message_x000D_
#Bard #Warlock #Wizard</v>
      </c>
      <c r="C3" t="str">
        <f t="shared" si="1"/>
        <v>level 1</v>
      </c>
      <c r="D3" s="3" t="s">
        <v>1230</v>
      </c>
      <c r="E3" t="str">
        <f t="shared" si="2"/>
        <v>level 1</v>
      </c>
      <c r="F3" t="str">
        <f t="shared" si="3"/>
        <v>NULL</v>
      </c>
      <c r="G3" t="str">
        <f>_xlfn.TEXTJOIN(" ",TRUE,IF(IFERROR(MATCH(SUBSTITUTE(A3,".md",""),'Bard Spells'!A:A,0),0)&gt;0,"#Bard",""),IF(IFERROR(MATCH(SUBSTITUTE(A3,".md",""),'Cleric Spells'!A:A,0),0)&gt;0,"#Cleric",""),IF(IFERROR(MATCH(SUBSTITUTE(A3,".md",""),'Druid Spells'!A:A,0),0)&gt;0,"#Druid",""),IF(IFERROR(MATCH(SUBSTITUTE(A3,".md",""),'Paladin Spells'!A:A,0),0)&gt;0,"#Paladin",""),IF(IFERROR(MATCH(SUBSTITUTE(A3,".md",""),'Ranger Spells'!A:A,0),0)&gt;0,"#Ranger",""),IF(IFERROR(MATCH(SUBSTITUTE(A3,".md",""),'Sorcerer Spells'!A:A,0),0)&gt;0,"#Sorcerer",""),IF(IFERROR(MATCH(SUBSTITUTE(A3,".md",""),'Warlock Spells'!A:A,0),0)&gt;0,"#Warlock",""),IF(IFERROR(MATCH(SUBSTITUTE(A3,".md",""),'Wizard Spells'!A:A,0),0)&gt;0,"#Wizard",""))</f>
        <v>#Bard #Warlock #Wizard</v>
      </c>
    </row>
  </sheetData>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16914-8542-4B2D-94E8-84172EFD82A1}">
  <sheetPr codeName="Sheet1"/>
  <dimension ref="A1:G388"/>
  <sheetViews>
    <sheetView topLeftCell="A385" zoomScale="70" zoomScaleNormal="70" workbookViewId="0">
      <selection sqref="A1:B388"/>
    </sheetView>
  </sheetViews>
  <sheetFormatPr defaultRowHeight="15" x14ac:dyDescent="0.25"/>
  <cols>
    <col min="2" max="2" width="193.85546875" style="2" customWidth="1"/>
    <col min="4" max="4" width="175.140625" style="2" customWidth="1"/>
  </cols>
  <sheetData>
    <row r="1" spans="1:7" ht="144" customHeight="1" x14ac:dyDescent="0.25">
      <c r="A1" t="s">
        <v>0</v>
      </c>
      <c r="B1" s="1" t="str">
        <f>D1&amp;CHAR(10)&amp;CHAR(10)&amp;G1</f>
        <v>level 0 - #evocation Casting Time: Action Range: 60 feet Components: V, S Duration: Instantaneous
You create an acidic bubble at a point within range, where it explodes in a 5-foot-radius Sphere. Each creature in that Sphere must succeed on a Dexterity saving throw or take 1d6 Acid damage. 
Cantrip Upgrade. The damage increases by 1d6 when you reach levels 5 (2d6), 11 (3d6), and 17 (4d6)
#Sorcerer #Wizard</v>
      </c>
      <c r="C1" t="str">
        <f>E1</f>
        <v>level 0</v>
      </c>
      <c r="D1" s="1" t="s">
        <v>1185</v>
      </c>
      <c r="E1" t="str">
        <f>LEFT(D1,7)</f>
        <v>level 0</v>
      </c>
      <c r="F1" t="str">
        <f>IF(AND(ISNUMBER(SEARCH("- ", D1)), NOT(ISNUMBER(SEARCH("- #", D1)))), "Match", "NULL")</f>
        <v>NULL</v>
      </c>
      <c r="G1" t="str">
        <f>_xlfn.TEXTJOIN(" ",TRUE,IF(IFERROR(MATCH(SUBSTITUTE(A1,".md",""),'Bard Spells'!A:A,0),0)&gt;0,"#Bard",""),IF(IFERROR(MATCH(SUBSTITUTE(A1,".md",""),'Cleric Spells'!A:A,0),0)&gt;0,"#Cleric",""),IF(IFERROR(MATCH(SUBSTITUTE(A1,".md",""),'Druid Spells'!A:A,0),0)&gt;0,"#Druid",""),IF(IFERROR(MATCH(SUBSTITUTE(A1,".md",""),'Paladin Spells'!A:A,0),0)&gt;0,"#Paladin",""),IF(IFERROR(MATCH(SUBSTITUTE(A1,".md",""),'Ranger Spells'!A:A,0),0)&gt;0,"#Ranger",""),IF(IFERROR(MATCH(SUBSTITUTE(A1,".md",""),'Sorcerer Spells'!A:A,0),0)&gt;0,"#Sorcerer",""),IF(IFERROR(MATCH(SUBSTITUTE(A1,".md",""),'Warlock Spells'!A:A,0),0)&gt;0,"#Warlock",""),IF(IFERROR(MATCH(SUBSTITUTE(A1,".md",""),'Wizard Spells'!A:A,0),0)&gt;0,"#Wizard",""))</f>
        <v>#Sorcerer #Wizard</v>
      </c>
    </row>
    <row r="2" spans="1:7" ht="120" x14ac:dyDescent="0.25">
      <c r="A2" t="s">
        <v>1</v>
      </c>
      <c r="B2" s="1" t="str">
        <f t="shared" ref="B2:B65" si="0">D2&amp;CHAR(10)&amp;CHAR(10)&amp;G2</f>
        <v>level 2 - #abjuration Casting Time: Action Range: 30 feet Components: V, S, M (a strip of white cloth) Duration: 8 hours 
Choose up to three creatures within range. Each target's Hit Point maximum and current Hit Points increase by 5 for the duration. 
Using a Higher-Level Spell Slot. Each target's Hit Points increase by 5 for each spell slot level above 2.
#Bard #Cleric #Druid #Paladin #Ranger</v>
      </c>
      <c r="C2" t="str">
        <f t="shared" ref="C2:C65" si="1">E2</f>
        <v>level 2</v>
      </c>
      <c r="D2" s="1" t="s">
        <v>1186</v>
      </c>
      <c r="E2" t="str">
        <f t="shared" ref="E2:E65" si="2">LEFT(D2,7)</f>
        <v>level 2</v>
      </c>
      <c r="F2" t="str">
        <f t="shared" ref="F2:F65" si="3">IF(AND(ISNUMBER(SEARCH("- ", D2)), NOT(ISNUMBER(SEARCH("- #", D2)))), "Match", "NULL")</f>
        <v>NULL</v>
      </c>
      <c r="G2" t="str">
        <f>_xlfn.TEXTJOIN(" ",TRUE,IF(IFERROR(MATCH(SUBSTITUTE(A2,".md",""),'Bard Spells'!A:A,0),0)&gt;0,"#Bard",""),IF(IFERROR(MATCH(SUBSTITUTE(A2,".md",""),'Cleric Spells'!A:A,0),0)&gt;0,"#Cleric",""),IF(IFERROR(MATCH(SUBSTITUTE(A2,".md",""),'Druid Spells'!A:A,0),0)&gt;0,"#Druid",""),IF(IFERROR(MATCH(SUBSTITUTE(A2,".md",""),'Paladin Spells'!A:A,0),0)&gt;0,"#Paladin",""),IF(IFERROR(MATCH(SUBSTITUTE(A2,".md",""),'Ranger Spells'!A:A,0),0)&gt;0,"#Ranger",""),IF(IFERROR(MATCH(SUBSTITUTE(A2,".md",""),'Sorcerer Spells'!A:A,0),0)&gt;0,"#Sorcerer",""),IF(IFERROR(MATCH(SUBSTITUTE(A2,".md",""),'Warlock Spells'!A:A,0),0)&gt;0,"#Warlock",""),IF(IFERROR(MATCH(SUBSTITUTE(A2,".md",""),'Wizard Spells'!A:A,0),0)&gt;0,"#Wizard",""))</f>
        <v>#Bard #Cleric #Druid #Paladin #Ranger</v>
      </c>
    </row>
    <row r="3" spans="1:7" ht="135" x14ac:dyDescent="0.25">
      <c r="A3" t="s">
        <v>2</v>
      </c>
      <c r="B3" s="1" t="str">
        <f t="shared" si="0"/>
        <v>level 1 - #abjuration ( #ritual ) Casting Time: 1 minute or Ritual Range: 30 feet Components: V, S, M (a bell and silver wire) Duration: 8 hours 
 You set an alarm against intrusion. Choose a door, a window, or an area within range that is no larger than a 20-foot Cube. Until the spell ends, an alarm alerts you whenever a creature touches or enters the warded area. When you cast the spell, you can designate creatures that won't set off the alarm. You also choose whether the alarm is audible or mental: 
 Audible Alarm. The alarm produces the sound of a handbell for 10 seconds within 60 feet of the warded area. 
 Mental Alarm. You are alerted by a mental ping if you are within 1 mile of the warded area. This ping awakens you if you're asleep.
#Ranger #Wizard</v>
      </c>
      <c r="C3" t="str">
        <f t="shared" si="1"/>
        <v>level 1</v>
      </c>
      <c r="D3" s="1" t="s">
        <v>1220</v>
      </c>
      <c r="E3" t="str">
        <f t="shared" si="2"/>
        <v>level 1</v>
      </c>
      <c r="F3" t="str">
        <f t="shared" si="3"/>
        <v>NULL</v>
      </c>
      <c r="G3" t="str">
        <f>_xlfn.TEXTJOIN(" ",TRUE,IF(IFERROR(MATCH(SUBSTITUTE(A3,".md",""),'Bard Spells'!A:A,0),0)&gt;0,"#Bard",""),IF(IFERROR(MATCH(SUBSTITUTE(A3,".md",""),'Cleric Spells'!A:A,0),0)&gt;0,"#Cleric",""),IF(IFERROR(MATCH(SUBSTITUTE(A3,".md",""),'Druid Spells'!A:A,0),0)&gt;0,"#Druid",""),IF(IFERROR(MATCH(SUBSTITUTE(A3,".md",""),'Paladin Spells'!A:A,0),0)&gt;0,"#Paladin",""),IF(IFERROR(MATCH(SUBSTITUTE(A3,".md",""),'Ranger Spells'!A:A,0),0)&gt;0,"#Ranger",""),IF(IFERROR(MATCH(SUBSTITUTE(A3,".md",""),'Sorcerer Spells'!A:A,0),0)&gt;0,"#Sorcerer",""),IF(IFERROR(MATCH(SUBSTITUTE(A3,".md",""),'Warlock Spells'!A:A,0),0)&gt;0,"#Warlock",""),IF(IFERROR(MATCH(SUBSTITUTE(A3,".md",""),'Wizard Spells'!A:A,0),0)&gt;0,"#Wizard",""))</f>
        <v>#Ranger #Wizard</v>
      </c>
    </row>
    <row r="4" spans="1:7" ht="180" x14ac:dyDescent="0.25">
      <c r="A4" t="s">
        <v>3</v>
      </c>
      <c r="B4" s="1" t="str">
        <f t="shared" si="0"/>
        <v>level 2 - #transmutation Casting Time: Action Range: Self Components: V, S Duration: #Concentration, up to 1 hour 
You alter your physical form. Choose one of the following options. Its effects last for the duration, during which you can take a Magic action to replace the option you chose with a different one. 
**Aquatic Adaptation.** You sprout gills and grow webs between your fingers. You can breathe underwater and gain a Swim Speed equal to your Speed. 
**Change Appearance.** You alter your appearance. You decide what you look like, including your height, weight, facial features, sound of your voice, hair length, coloration, and other distinguishing characteristics. You can make yourself appear as a member of another species, though none of your statistics change. You can't appear as a creature of a different size, and your basic shape stays the same; if you're bipedal, you can't use this spell to become quadrupedal, for instance. For the duration, you can take a Magic action to change your appearance in this way again. 
**Natural Weapons.** You grow claws (Slashing), fangs (Piercing), horns (Piercing), or hooves (Bludgeoning). When you use your Unarmed Strike to deal damage with that new growth, it deals 1d6 damage of the type in parentheses instead of dealing the normal damage for your Unarmed Strike, and you use your spellcasting ability modifier for the attack and damage rolls rather than using Strength
#Sorcerer #Wizard</v>
      </c>
      <c r="C4" t="str">
        <f t="shared" si="1"/>
        <v>level 2</v>
      </c>
      <c r="D4" s="1" t="s">
        <v>1187</v>
      </c>
      <c r="E4" t="str">
        <f t="shared" si="2"/>
        <v>level 2</v>
      </c>
      <c r="F4" t="str">
        <f t="shared" si="3"/>
        <v>NULL</v>
      </c>
      <c r="G4" t="str">
        <f>_xlfn.TEXTJOIN(" ",TRUE,IF(IFERROR(MATCH(SUBSTITUTE(A4,".md",""),'Bard Spells'!A:A,0),0)&gt;0,"#Bard",""),IF(IFERROR(MATCH(SUBSTITUTE(A4,".md",""),'Cleric Spells'!A:A,0),0)&gt;0,"#Cleric",""),IF(IFERROR(MATCH(SUBSTITUTE(A4,".md",""),'Druid Spells'!A:A,0),0)&gt;0,"#Druid",""),IF(IFERROR(MATCH(SUBSTITUTE(A4,".md",""),'Paladin Spells'!A:A,0),0)&gt;0,"#Paladin",""),IF(IFERROR(MATCH(SUBSTITUTE(A4,".md",""),'Ranger Spells'!A:A,0),0)&gt;0,"#Ranger",""),IF(IFERROR(MATCH(SUBSTITUTE(A4,".md",""),'Sorcerer Spells'!A:A,0),0)&gt;0,"#Sorcerer",""),IF(IFERROR(MATCH(SUBSTITUTE(A4,".md",""),'Warlock Spells'!A:A,0),0)&gt;0,"#Warlock",""),IF(IFERROR(MATCH(SUBSTITUTE(A4,".md",""),'Wizard Spells'!A:A,0),0)&gt;0,"#Wizard",""))</f>
        <v>#Sorcerer #Wizard</v>
      </c>
    </row>
    <row r="5" spans="1:7" ht="120" x14ac:dyDescent="0.25">
      <c r="A5" t="s">
        <v>4</v>
      </c>
      <c r="B5" s="1" t="str">
        <f t="shared" si="0"/>
        <v>level 1 - #enchantment Casting Time: Action Range: 30 feet Components: V, S, M (a morsel of food) Duration: 24 hours 
Target a Beast that you can see within range. The target must succeed on a Wisdom saving throw or have the Charmed condition for the duration. If you or one of your allies deals damage to the target, the spells ends. 
Using a Higher-Level Spell Slot. You can target one additional Beast for each spell slot level above 1.
#Bard #Druid #Ranger</v>
      </c>
      <c r="C5" t="str">
        <f t="shared" si="1"/>
        <v>level 1</v>
      </c>
      <c r="D5" s="1" t="s">
        <v>1221</v>
      </c>
      <c r="E5" t="str">
        <f t="shared" si="2"/>
        <v>level 1</v>
      </c>
      <c r="F5" t="str">
        <f t="shared" si="3"/>
        <v>NULL</v>
      </c>
      <c r="G5" t="str">
        <f>_xlfn.TEXTJOIN(" ",TRUE,IF(IFERROR(MATCH(SUBSTITUTE(A5,".md",""),'Bard Spells'!A:A,0),0)&gt;0,"#Bard",""),IF(IFERROR(MATCH(SUBSTITUTE(A5,".md",""),'Cleric Spells'!A:A,0),0)&gt;0,"#Cleric",""),IF(IFERROR(MATCH(SUBSTITUTE(A5,".md",""),'Druid Spells'!A:A,0),0)&gt;0,"#Druid",""),IF(IFERROR(MATCH(SUBSTITUTE(A5,".md",""),'Paladin Spells'!A:A,0),0)&gt;0,"#Paladin",""),IF(IFERROR(MATCH(SUBSTITUTE(A5,".md",""),'Ranger Spells'!A:A,0),0)&gt;0,"#Ranger",""),IF(IFERROR(MATCH(SUBSTITUTE(A5,".md",""),'Sorcerer Spells'!A:A,0),0)&gt;0,"#Sorcerer",""),IF(IFERROR(MATCH(SUBSTITUTE(A5,".md",""),'Warlock Spells'!A:A,0),0)&gt;0,"#Warlock",""),IF(IFERROR(MATCH(SUBSTITUTE(A5,".md",""),'Wizard Spells'!A:A,0),0)&gt;0,"#Wizard",""))</f>
        <v>#Bard #Druid #Ranger</v>
      </c>
    </row>
    <row r="6" spans="1:7" ht="180" x14ac:dyDescent="0.25">
      <c r="A6" t="s">
        <v>5</v>
      </c>
      <c r="B6" s="1" t="str">
        <f t="shared" si="0"/>
        <v>level 2 - #enchantment ( #ritual ) Casting Time: Action or Ritual Range: 30 feet Components: V, S, M (a morsel of food) Duration: 24 hours
A Tiny Beast of your choice that you can see within range must succeed on a Charisma saving throw, or it attempts to deliver a message for you (if the target's Challenge Rating isn't 0, it automatically succeeds). You specify a location you have visited and a recipient who matches a general description, such as "a person dressed in the uniform of the town guard" or "a red-haired dwarf wearing a pointed hat." You also communicate a message of up to twenty-five words. The Beast travels for the duration toward the specified location, covering about 25 miles per 24 hours or 50 miles if the Beast can fly. When the Beast arrives, it delivers your message to the creature that you described, mimicking your communication. If the Beast doesn't reach its destination before the spell ends, the message is lost, and the Beast returns to where you cast the spell. 
Using a Higher-Level Spell Slot. The spell's duration increases by 48 hours for each spell slot level above 2.
#Bard #Druid #Ranger</v>
      </c>
      <c r="C6" t="str">
        <f t="shared" si="1"/>
        <v>level 2</v>
      </c>
      <c r="D6" s="1" t="s">
        <v>1188</v>
      </c>
      <c r="E6" t="str">
        <f t="shared" si="2"/>
        <v>level 2</v>
      </c>
      <c r="F6" t="str">
        <f t="shared" si="3"/>
        <v>NULL</v>
      </c>
      <c r="G6" t="str">
        <f>_xlfn.TEXTJOIN(" ",TRUE,IF(IFERROR(MATCH(SUBSTITUTE(A6,".md",""),'Bard Spells'!A:A,0),0)&gt;0,"#Bard",""),IF(IFERROR(MATCH(SUBSTITUTE(A6,".md",""),'Cleric Spells'!A:A,0),0)&gt;0,"#Cleric",""),IF(IFERROR(MATCH(SUBSTITUTE(A6,".md",""),'Druid Spells'!A:A,0),0)&gt;0,"#Druid",""),IF(IFERROR(MATCH(SUBSTITUTE(A6,".md",""),'Paladin Spells'!A:A,0),0)&gt;0,"#Paladin",""),IF(IFERROR(MATCH(SUBSTITUTE(A6,".md",""),'Ranger Spells'!A:A,0),0)&gt;0,"#Ranger",""),IF(IFERROR(MATCH(SUBSTITUTE(A6,".md",""),'Sorcerer Spells'!A:A,0),0)&gt;0,"#Sorcerer",""),IF(IFERROR(MATCH(SUBSTITUTE(A6,".md",""),'Warlock Spells'!A:A,0),0)&gt;0,"#Warlock",""),IF(IFERROR(MATCH(SUBSTITUTE(A6,".md",""),'Wizard Spells'!A:A,0),0)&gt;0,"#Wizard",""))</f>
        <v>#Bard #Druid #Ranger</v>
      </c>
    </row>
    <row r="7" spans="1:7" ht="165" x14ac:dyDescent="0.25">
      <c r="A7" t="s">
        <v>6</v>
      </c>
      <c r="B7" s="1" t="str">
        <f t="shared" si="0"/>
        <v>level 8 - #transmutation Casting Time: Action Range: 30 feet Components: V, S Duration: 24 hours 
Choose any number of willing creatures that you can see within range. Each target shape-shifts into a Large or smaller Beast of your choice that has a Challenge Rating of 4 or lower. You can choose a different form for each target. On later turns, you can take a Magic action to transform the targets again. A target's game statistics are replaced by the chosen Beast's statistics, but the target retains its creature type; Hit Points; Hit Point Dice; alignment; ability to communicate; and Intelligence, Wisdom, and Charisma scores. The target's actions are limited by the Beast form's anatomy, and it can't cast spells. The target's equipment melds into the new form, and the target can't use any of that equipment while in that form. 
The target gains a number of Temporary Hit Points equal to the Beast form's Hit Points. The transformation lasts for the duration for each target, until the target has no Temporary Hit Points, or until the target leaves the form as a Bonus Action.
#Druid</v>
      </c>
      <c r="C7" t="str">
        <f t="shared" si="1"/>
        <v>level 8</v>
      </c>
      <c r="D7" s="1" t="s">
        <v>1189</v>
      </c>
      <c r="E7" t="str">
        <f t="shared" si="2"/>
        <v>level 8</v>
      </c>
      <c r="F7" t="str">
        <f t="shared" si="3"/>
        <v>NULL</v>
      </c>
      <c r="G7" t="str">
        <f>_xlfn.TEXTJOIN(" ",TRUE,IF(IFERROR(MATCH(SUBSTITUTE(A7,".md",""),'Bard Spells'!A:A,0),0)&gt;0,"#Bard",""),IF(IFERROR(MATCH(SUBSTITUTE(A7,".md",""),'Cleric Spells'!A:A,0),0)&gt;0,"#Cleric",""),IF(IFERROR(MATCH(SUBSTITUTE(A7,".md",""),'Druid Spells'!A:A,0),0)&gt;0,"#Druid",""),IF(IFERROR(MATCH(SUBSTITUTE(A7,".md",""),'Paladin Spells'!A:A,0),0)&gt;0,"#Paladin",""),IF(IFERROR(MATCH(SUBSTITUTE(A7,".md",""),'Ranger Spells'!A:A,0),0)&gt;0,"#Ranger",""),IF(IFERROR(MATCH(SUBSTITUTE(A7,".md",""),'Sorcerer Spells'!A:A,0),0)&gt;0,"#Sorcerer",""),IF(IFERROR(MATCH(SUBSTITUTE(A7,".md",""),'Warlock Spells'!A:A,0),0)&gt;0,"#Warlock",""),IF(IFERROR(MATCH(SUBSTITUTE(A7,".md",""),'Wizard Spells'!A:A,0),0)&gt;0,"#Wizard",""))</f>
        <v>#Druid</v>
      </c>
    </row>
    <row r="8" spans="1:7" ht="210" x14ac:dyDescent="0.25">
      <c r="A8" t="s">
        <v>7</v>
      </c>
      <c r="B8" s="1" t="str">
        <f t="shared" si="0"/>
        <v>level 3 - #necromancy Casting Time: 1 minute Range: 10 feet Components: V, S, M (a drop of blood, a piece of flesh, and a pinch of bone dust) Duration: Instantaneous 
Choose a pile of bones or a corpse of a Medium or Small Humanoid within range. The target becomes an Undead creature: a Skeleton if you chose bones or a Zombie if you chose a corpse. On each of your turns, you can take a Bonus Action to mentally command any creature you made with this spell if the creature is within 60 feet of you (if you control multiple creatures, you can command any of them at the same time, issuing the same command to each one). You decide what action the creature will take and where it will move on its next turn, or you can issue a general command, such as to guard a chamber or corridor. If you issue no commands, the creature takes the Dodge action and moves only to avoid harm. Once given an order, the creature continues to follow it until its task is complete. 
The creature is under your control for 24 hours, after which it stops obeying any command you've given it. To maintain control of the creature for another 24 hours, you must cast this spell on the creature again before the current 24-hour period ends. This use of the spell reasserts your control over up to four creatures you have animated with this spell rather than animating a new creature. 
Using a Higher-Level Spell Slot. You animate or reassert control over two additional Undead creatures for each spell slot level above 3. Each of the creatures must come from a different corpse or pile of bones.
#Cleric #Wizard</v>
      </c>
      <c r="C8" t="str">
        <f t="shared" si="1"/>
        <v>level 3</v>
      </c>
      <c r="D8" s="1" t="s">
        <v>1190</v>
      </c>
      <c r="E8" t="str">
        <f t="shared" si="2"/>
        <v>level 3</v>
      </c>
      <c r="F8" t="str">
        <f t="shared" si="3"/>
        <v>NULL</v>
      </c>
      <c r="G8" t="str">
        <f>_xlfn.TEXTJOIN(" ",TRUE,IF(IFERROR(MATCH(SUBSTITUTE(A8,".md",""),'Bard Spells'!A:A,0),0)&gt;0,"#Bard",""),IF(IFERROR(MATCH(SUBSTITUTE(A8,".md",""),'Cleric Spells'!A:A,0),0)&gt;0,"#Cleric",""),IF(IFERROR(MATCH(SUBSTITUTE(A8,".md",""),'Druid Spells'!A:A,0),0)&gt;0,"#Druid",""),IF(IFERROR(MATCH(SUBSTITUTE(A8,".md",""),'Paladin Spells'!A:A,0),0)&gt;0,"#Paladin",""),IF(IFERROR(MATCH(SUBSTITUTE(A8,".md",""),'Ranger Spells'!A:A,0),0)&gt;0,"#Ranger",""),IF(IFERROR(MATCH(SUBSTITUTE(A8,".md",""),'Sorcerer Spells'!A:A,0),0)&gt;0,"#Sorcerer",""),IF(IFERROR(MATCH(SUBSTITUTE(A8,".md",""),'Warlock Spells'!A:A,0),0)&gt;0,"#Warlock",""),IF(IFERROR(MATCH(SUBSTITUTE(A8,".md",""),'Wizard Spells'!A:A,0),0)&gt;0,"#Wizard",""))</f>
        <v>#Cleric #Wizard</v>
      </c>
    </row>
    <row r="9" spans="1:7" ht="210" x14ac:dyDescent="0.25">
      <c r="A9" t="s">
        <v>8</v>
      </c>
      <c r="B9" s="1" t="str">
        <f t="shared" si="0"/>
        <v>level 5 - #transmutation Casting Time: Action Range: 120 feet Components: V, S Duration: #Concentration, up to 1 minute 
Objects animate at your command. Choose a number of nonmagical objects within range that aren't being worn or carried, aren't fixed to a surface, and aren't Gargantuan. The maximum number of objects is equal to your spellcasting ability modifier; for this number, a Medium or smaller target counts as one object, a Large target counts as two, and a Huge target counts as three. Each target animates, sprouts legs, and becomes a Construct that uses the Animated Object stat block; this creature is under your control until the spell ends or until it is reduced to 0 Hit Points. Each creature you make with this spell is an ally to you and your allies. In combat, it shares your Initiative count and takes its turn immediately after yours. 
Until the spell ends, you can take a Bonus Action to mentally command any creature you made with this spell if the creature is within 500 feet of you (if you control multiple creatures, you can command any of them at the same time, issuing the same command to each one). If you issue no commands, the creature takes the Dodge action and moves only to avoid harm. When the creature drops to 0 Hit Points, it reverts to its object form, and any remaining damage carries over to that form. 
Using a Higher-Level Spell Slot. The creature's Slam damage increases by 1d4 (Medium or smaller), 1d6 (Large), or 1d12 (Huge) for each spell slot level above 5.
#Bard #Sorcerer #Wizard</v>
      </c>
      <c r="C9" t="str">
        <f t="shared" si="1"/>
        <v>level 5</v>
      </c>
      <c r="D9" s="1" t="s">
        <v>1191</v>
      </c>
      <c r="E9" t="str">
        <f t="shared" si="2"/>
        <v>level 5</v>
      </c>
      <c r="F9" t="str">
        <f t="shared" si="3"/>
        <v>NULL</v>
      </c>
      <c r="G9" t="str">
        <f>_xlfn.TEXTJOIN(" ",TRUE,IF(IFERROR(MATCH(SUBSTITUTE(A9,".md",""),'Bard Spells'!A:A,0),0)&gt;0,"#Bard",""),IF(IFERROR(MATCH(SUBSTITUTE(A9,".md",""),'Cleric Spells'!A:A,0),0)&gt;0,"#Cleric",""),IF(IFERROR(MATCH(SUBSTITUTE(A9,".md",""),'Druid Spells'!A:A,0),0)&gt;0,"#Druid",""),IF(IFERROR(MATCH(SUBSTITUTE(A9,".md",""),'Paladin Spells'!A:A,0),0)&gt;0,"#Paladin",""),IF(IFERROR(MATCH(SUBSTITUTE(A9,".md",""),'Ranger Spells'!A:A,0),0)&gt;0,"#Ranger",""),IF(IFERROR(MATCH(SUBSTITUTE(A9,".md",""),'Sorcerer Spells'!A:A,0),0)&gt;0,"#Sorcerer",""),IF(IFERROR(MATCH(SUBSTITUTE(A9,".md",""),'Warlock Spells'!A:A,0),0)&gt;0,"#Warlock",""),IF(IFERROR(MATCH(SUBSTITUTE(A9,".md",""),'Wizard Spells'!A:A,0),0)&gt;0,"#Wizard",""))</f>
        <v>#Bard #Sorcerer #Wizard</v>
      </c>
    </row>
    <row r="10" spans="1:7" ht="120" x14ac:dyDescent="0.25">
      <c r="A10" t="s">
        <v>9</v>
      </c>
      <c r="B10" s="1" t="str">
        <f t="shared" si="0"/>
        <v>level 5 - #abjuration Casting Time: Action Range: Self Components: V, S Duration: #Concentration, up to 1 hour 
An aura extends from you in a 10-foot Emanation for the duration. The aura prevents creatures other than Constructs and Undead from passing or reaching through it. An affected creature can cast spells or make attacks with Ranged or Reach weapons through the barrier.
If you move so that an affected creature is forced to pass through the barrier, the spell ends.
#Druid</v>
      </c>
      <c r="C10" t="str">
        <f t="shared" si="1"/>
        <v>level 5</v>
      </c>
      <c r="D10" s="1" t="s">
        <v>1192</v>
      </c>
      <c r="E10" t="str">
        <f t="shared" si="2"/>
        <v>level 5</v>
      </c>
      <c r="F10" t="str">
        <f t="shared" si="3"/>
        <v>NULL</v>
      </c>
      <c r="G10" t="str">
        <f>_xlfn.TEXTJOIN(" ",TRUE,IF(IFERROR(MATCH(SUBSTITUTE(A10,".md",""),'Bard Spells'!A:A,0),0)&gt;0,"#Bard",""),IF(IFERROR(MATCH(SUBSTITUTE(A10,".md",""),'Cleric Spells'!A:A,0),0)&gt;0,"#Cleric",""),IF(IFERROR(MATCH(SUBSTITUTE(A10,".md",""),'Druid Spells'!A:A,0),0)&gt;0,"#Druid",""),IF(IFERROR(MATCH(SUBSTITUTE(A10,".md",""),'Paladin Spells'!A:A,0),0)&gt;0,"#Paladin",""),IF(IFERROR(MATCH(SUBSTITUTE(A10,".md",""),'Ranger Spells'!A:A,0),0)&gt;0,"#Ranger",""),IF(IFERROR(MATCH(SUBSTITUTE(A10,".md",""),'Sorcerer Spells'!A:A,0),0)&gt;0,"#Sorcerer",""),IF(IFERROR(MATCH(SUBSTITUTE(A10,".md",""),'Warlock Spells'!A:A,0),0)&gt;0,"#Warlock",""),IF(IFERROR(MATCH(SUBSTITUTE(A10,".md",""),'Wizard Spells'!A:A,0),0)&gt;0,"#Wizard",""))</f>
        <v>#Druid</v>
      </c>
    </row>
    <row r="11" spans="1:7" ht="165" x14ac:dyDescent="0.25">
      <c r="A11" t="s">
        <v>10</v>
      </c>
      <c r="B11" s="1" t="str">
        <f t="shared" si="0"/>
        <v>level 8 - #abjuration Casting Time: Action Range: Self Components: V, S, M (iron filings) Duration: #Concentration, up to 1 hour 
An aura of antimagic surrounds you in 10-foot Emanation. No one can cast spells, take Magic actions, or create other magical effects inside the aura, and those things can't target or otherwise affect anything inside it. 
Magical properties of magic items don't work inside the aura or on anything inside it. Areas of effect created by spells or other magic can't extend into the aura, and no one can teleport into or out of it or use planar travel there. Portals close temporarily while in the aura. 
Ongoing spells, except those cast by an Artifact or a deity, are suppressed in the area. While an effect is suppressed, it doesn't function, but the time it spends suppressed counts against its duration. 
Dispel Magic has no effect on the aura, and the auras created by different Antimagic Field spells don't nullify each other.
#Cleric #Wizard</v>
      </c>
      <c r="C11" t="str">
        <f t="shared" si="1"/>
        <v>level 8</v>
      </c>
      <c r="D11" s="1" t="s">
        <v>1193</v>
      </c>
      <c r="E11" t="str">
        <f t="shared" si="2"/>
        <v>level 8</v>
      </c>
      <c r="F11" t="str">
        <f t="shared" si="3"/>
        <v>NULL</v>
      </c>
      <c r="G11" t="str">
        <f>_xlfn.TEXTJOIN(" ",TRUE,IF(IFERROR(MATCH(SUBSTITUTE(A11,".md",""),'Bard Spells'!A:A,0),0)&gt;0,"#Bard",""),IF(IFERROR(MATCH(SUBSTITUTE(A11,".md",""),'Cleric Spells'!A:A,0),0)&gt;0,"#Cleric",""),IF(IFERROR(MATCH(SUBSTITUTE(A11,".md",""),'Druid Spells'!A:A,0),0)&gt;0,"#Druid",""),IF(IFERROR(MATCH(SUBSTITUTE(A11,".md",""),'Paladin Spells'!A:A,0),0)&gt;0,"#Paladin",""),IF(IFERROR(MATCH(SUBSTITUTE(A11,".md",""),'Ranger Spells'!A:A,0),0)&gt;0,"#Ranger",""),IF(IFERROR(MATCH(SUBSTITUTE(A11,".md",""),'Sorcerer Spells'!A:A,0),0)&gt;0,"#Sorcerer",""),IF(IFERROR(MATCH(SUBSTITUTE(A11,".md",""),'Warlock Spells'!A:A,0),0)&gt;0,"#Warlock",""),IF(IFERROR(MATCH(SUBSTITUTE(A11,".md",""),'Wizard Spells'!A:A,0),0)&gt;0,"#Wizard",""))</f>
        <v>#Cleric #Wizard</v>
      </c>
    </row>
    <row r="12" spans="1:7" ht="180" x14ac:dyDescent="0.25">
      <c r="A12" t="s">
        <v>11</v>
      </c>
      <c r="B12" s="1" t="str">
        <f t="shared" si="0"/>
        <v xml:space="preserve">level 8 - #enchantment Casting Time: 1 hour Range: 60 feet Components: V, S, M (a mix of vinegar and honey) Duration: 10 days 
As you cast the spell, choose whether it creates antipathy or sympathy, and target one creature or object that is Huge or smaller. Then specify a kind of creature, such as red dragons, goblins, or vampires. A creature of the chosen kind makes a Wisdom saving throw when it comes within 120 feet of the target. Your choice of antipathy or sympathy determines what happens to a creature when it fails that save: 
**Antipathy.** The creature has the Frightened condition. The Frightened creature must use its movement on its turns to get as far away as possible from the target, moving by the safest route. 
**Sympathy.** The creature has the Charmed condition. The Charmed creature must use its movement on its turns to get as close as possible to the target, moving by the safest route. If the creature is within 5 feet of the target, the creature can't willingly move away. If the target damages the Charmed creature, that creature can make a Wisdom saving throw to end the effect, as described below. 
**Ending the Effect.** If the Frightened or Charmed creature ends its turn more than 120 feet away from the target, the creature makes a Wisdom saving throw. On a successful save, the creature is no longer affected by the target. A creature that successfully saves against this effect is immune to it for 1 minute, after which it can be affected again.
</v>
      </c>
      <c r="C12" t="str">
        <f t="shared" si="1"/>
        <v>level 8</v>
      </c>
      <c r="D12" s="1" t="s">
        <v>1194</v>
      </c>
      <c r="E12" t="str">
        <f t="shared" si="2"/>
        <v>level 8</v>
      </c>
      <c r="F12" t="str">
        <f t="shared" si="3"/>
        <v>NULL</v>
      </c>
      <c r="G12" t="str">
        <f>_xlfn.TEXTJOIN(" ",TRUE,IF(IFERROR(MATCH(SUBSTITUTE(A12,".md",""),'Bard Spells'!A:A,0),0)&gt;0,"#Bard",""),IF(IFERROR(MATCH(SUBSTITUTE(A12,".md",""),'Cleric Spells'!A:A,0),0)&gt;0,"#Cleric",""),IF(IFERROR(MATCH(SUBSTITUTE(A12,".md",""),'Druid Spells'!A:A,0),0)&gt;0,"#Druid",""),IF(IFERROR(MATCH(SUBSTITUTE(A12,".md",""),'Paladin Spells'!A:A,0),0)&gt;0,"#Paladin",""),IF(IFERROR(MATCH(SUBSTITUTE(A12,".md",""),'Ranger Spells'!A:A,0),0)&gt;0,"#Ranger",""),IF(IFERROR(MATCH(SUBSTITUTE(A12,".md",""),'Sorcerer Spells'!A:A,0),0)&gt;0,"#Sorcerer",""),IF(IFERROR(MATCH(SUBSTITUTE(A12,".md",""),'Warlock Spells'!A:A,0),0)&gt;0,"#Warlock",""),IF(IFERROR(MATCH(SUBSTITUTE(A12,".md",""),'Wizard Spells'!A:A,0),0)&gt;0,"#Wizard",""))</f>
        <v/>
      </c>
    </row>
    <row r="13" spans="1:7" ht="105" x14ac:dyDescent="0.25">
      <c r="A13" t="s">
        <v>12</v>
      </c>
      <c r="B13" s="1" t="str">
        <f t="shared" si="0"/>
        <v>level 4 - #divination Casting Time: Action Range: 30 feet Components: V, S, M (a bit of bat fur) Duration: #Concentration, up to 1 hour 
You create an Invisible, invulnerable eye within range that hovers for the duration. You mentally receive visual information from the eye, which can see in every direction. It also has Darkvision with a range of 30 feet. 
As a Bonus Action, you can move the eye up to 30 feet in any direction. A solid barrier blocks the eye's movement, but the eye can pass through an opening as small as 1 inch in diameter.
#Wizard</v>
      </c>
      <c r="C13" t="str">
        <f t="shared" si="1"/>
        <v>level 4</v>
      </c>
      <c r="D13" s="1" t="s">
        <v>1195</v>
      </c>
      <c r="E13" t="str">
        <f t="shared" si="2"/>
        <v>level 4</v>
      </c>
      <c r="F13" t="str">
        <f t="shared" si="3"/>
        <v>NULL</v>
      </c>
      <c r="G13" t="str">
        <f>_xlfn.TEXTJOIN(" ",TRUE,IF(IFERROR(MATCH(SUBSTITUTE(A13,".md",""),'Bard Spells'!A:A,0),0)&gt;0,"#Bard",""),IF(IFERROR(MATCH(SUBSTITUTE(A13,".md",""),'Cleric Spells'!A:A,0),0)&gt;0,"#Cleric",""),IF(IFERROR(MATCH(SUBSTITUTE(A13,".md",""),'Druid Spells'!A:A,0),0)&gt;0,"#Druid",""),IF(IFERROR(MATCH(SUBSTITUTE(A13,".md",""),'Paladin Spells'!A:A,0),0)&gt;0,"#Paladin",""),IF(IFERROR(MATCH(SUBSTITUTE(A13,".md",""),'Ranger Spells'!A:A,0),0)&gt;0,"#Ranger",""),IF(IFERROR(MATCH(SUBSTITUTE(A13,".md",""),'Sorcerer Spells'!A:A,0),0)&gt;0,"#Sorcerer",""),IF(IFERROR(MATCH(SUBSTITUTE(A13,".md",""),'Warlock Spells'!A:A,0),0)&gt;0,"#Warlock",""),IF(IFERROR(MATCH(SUBSTITUTE(A13,".md",""),'Wizard Spells'!A:A,0),0)&gt;0,"#Wizard",""))</f>
        <v>#Wizard</v>
      </c>
    </row>
    <row r="14" spans="1:7" ht="90" x14ac:dyDescent="0.25">
      <c r="A14" t="s">
        <v>13</v>
      </c>
      <c r="B14" s="1" t="str">
        <f t="shared" si="0"/>
        <v>level 6 - #conjuration Casting Time: Action Range: 500 feet Components: V, S Duration: #Concentration, up to 10 minutes
Description not available (not OGL).
#Sorcerer #Warlock #Wizard</v>
      </c>
      <c r="C14" t="str">
        <f t="shared" si="1"/>
        <v>level 6</v>
      </c>
      <c r="D14" s="1" t="s">
        <v>1222</v>
      </c>
      <c r="E14" t="str">
        <f t="shared" si="2"/>
        <v>level 6</v>
      </c>
      <c r="F14" t="str">
        <f t="shared" si="3"/>
        <v>NULL</v>
      </c>
      <c r="G14" t="str">
        <f>_xlfn.TEXTJOIN(" ",TRUE,IF(IFERROR(MATCH(SUBSTITUTE(A14,".md",""),'Bard Spells'!A:A,0),0)&gt;0,"#Bard",""),IF(IFERROR(MATCH(SUBSTITUTE(A14,".md",""),'Cleric Spells'!A:A,0),0)&gt;0,"#Cleric",""),IF(IFERROR(MATCH(SUBSTITUTE(A14,".md",""),'Druid Spells'!A:A,0),0)&gt;0,"#Druid",""),IF(IFERROR(MATCH(SUBSTITUTE(A14,".md",""),'Paladin Spells'!A:A,0),0)&gt;0,"#Paladin",""),IF(IFERROR(MATCH(SUBSTITUTE(A14,".md",""),'Ranger Spells'!A:A,0),0)&gt;0,"#Ranger",""),IF(IFERROR(MATCH(SUBSTITUTE(A14,".md",""),'Sorcerer Spells'!A:A,0),0)&gt;0,"#Sorcerer",""),IF(IFERROR(MATCH(SUBSTITUTE(A14,".md",""),'Warlock Spells'!A:A,0),0)&gt;0,"#Warlock",""),IF(IFERROR(MATCH(SUBSTITUTE(A14,".md",""),'Wizard Spells'!A:A,0),0)&gt;0,"#Wizard",""))</f>
        <v>#Sorcerer #Warlock #Wizard</v>
      </c>
    </row>
    <row r="15" spans="1:7" ht="105" x14ac:dyDescent="0.25">
      <c r="A15" t="s">
        <v>14</v>
      </c>
      <c r="B15" s="1" t="str">
        <f t="shared" si="0"/>
        <v>level 2 - #abjuration Casting Time: Action Range: Touch Components: V, S, M (gold dust worth 25+ GP, which the spell consumes) Duration: Until dispelled 
You touch a closed door, window, gate, container, or hatch and magically lock it for the duration. This lock can't be unlocked by any nonmagical means. You and any creatures you designate when you cast the spell can open and close the object despite the lock. You can also set a password that, when spoken within 5 feet of the object, unlocks it for 1 minute_x000D_
#Wizard</v>
      </c>
      <c r="C15" t="str">
        <f t="shared" si="1"/>
        <v>level 2</v>
      </c>
      <c r="D15" s="1" t="s">
        <v>615</v>
      </c>
      <c r="E15" t="str">
        <f t="shared" si="2"/>
        <v>level 2</v>
      </c>
      <c r="F15" t="str">
        <f t="shared" si="3"/>
        <v>NULL</v>
      </c>
      <c r="G15" t="str">
        <f>_xlfn.TEXTJOIN(" ",TRUE,IF(IFERROR(MATCH(SUBSTITUTE(A15,".md",""),'Bard Spells'!A:A,0),0)&gt;0,"#Bard",""),IF(IFERROR(MATCH(SUBSTITUTE(A15,".md",""),'Cleric Spells'!A:A,0),0)&gt;0,"#Cleric",""),IF(IFERROR(MATCH(SUBSTITUTE(A15,".md",""),'Druid Spells'!A:A,0),0)&gt;0,"#Druid",""),IF(IFERROR(MATCH(SUBSTITUTE(A15,".md",""),'Paladin Spells'!A:A,0),0)&gt;0,"#Paladin",""),IF(IFERROR(MATCH(SUBSTITUTE(A15,".md",""),'Ranger Spells'!A:A,0),0)&gt;0,"#Ranger",""),IF(IFERROR(MATCH(SUBSTITUTE(A15,".md",""),'Sorcerer Spells'!A:A,0),0)&gt;0,"#Sorcerer",""),IF(IFERROR(MATCH(SUBSTITUTE(A15,".md",""),'Warlock Spells'!A:A,0),0)&gt;0,"#Warlock",""),IF(IFERROR(MATCH(SUBSTITUTE(A15,".md",""),'Wizard Spells'!A:A,0),0)&gt;0,"#Wizard",""))</f>
        <v>#Wizard</v>
      </c>
    </row>
    <row r="16" spans="1:7" ht="120" x14ac:dyDescent="0.25">
      <c r="A16" t="s">
        <v>15</v>
      </c>
      <c r="B16" s="1" t="str">
        <f t="shared" si="0"/>
        <v>level 2 - #abjuration Casting Time: #BonusAction Range: Self Components: V, S Duration: Instantaneous 
You tap into your life force to heal yourself. Roll one or two of your unexpended Hit Point Dice, and regain a number of Hit Points equal to the roll's total plus your spellcasting ability modifier. Those dice are then expended. 
Using a Higher-Level Spell Slot. The number of unexpended Hit Dice you can roll increases by one for each spell slot level above 2.
#Sorcerer #Wizard</v>
      </c>
      <c r="C16" t="str">
        <f t="shared" si="1"/>
        <v>level 2</v>
      </c>
      <c r="D16" s="1" t="s">
        <v>1196</v>
      </c>
      <c r="E16" t="str">
        <f t="shared" si="2"/>
        <v>level 2</v>
      </c>
      <c r="F16" t="str">
        <f t="shared" si="3"/>
        <v>NULL</v>
      </c>
      <c r="G16" t="str">
        <f>_xlfn.TEXTJOIN(" ",TRUE,IF(IFERROR(MATCH(SUBSTITUTE(A16,".md",""),'Bard Spells'!A:A,0),0)&gt;0,"#Bard",""),IF(IFERROR(MATCH(SUBSTITUTE(A16,".md",""),'Cleric Spells'!A:A,0),0)&gt;0,"#Cleric",""),IF(IFERROR(MATCH(SUBSTITUTE(A16,".md",""),'Druid Spells'!A:A,0),0)&gt;0,"#Druid",""),IF(IFERROR(MATCH(SUBSTITUTE(A16,".md",""),'Paladin Spells'!A:A,0),0)&gt;0,"#Paladin",""),IF(IFERROR(MATCH(SUBSTITUTE(A16,".md",""),'Ranger Spells'!A:A,0),0)&gt;0,"#Ranger",""),IF(IFERROR(MATCH(SUBSTITUTE(A16,".md",""),'Sorcerer Spells'!A:A,0),0)&gt;0,"#Sorcerer",""),IF(IFERROR(MATCH(SUBSTITUTE(A16,".md",""),'Warlock Spells'!A:A,0),0)&gt;0,"#Warlock",""),IF(IFERROR(MATCH(SUBSTITUTE(A16,".md",""),'Wizard Spells'!A:A,0),0)&gt;0,"#Wizard",""))</f>
        <v>#Sorcerer #Wizard</v>
      </c>
    </row>
    <row r="17" spans="1:7" ht="120" x14ac:dyDescent="0.25">
      <c r="A17" t="s">
        <v>16</v>
      </c>
      <c r="B17" s="1" t="str">
        <f t="shared" si="0"/>
        <v>level 1 - #abjuration Casting Time: #BonusAction Range: Self Components: V, S, M (a shard of blue glass) Duration: 1 hour 
Protective magical frost surrounds you. You gain 5 Temporary Hit Points. If a creature hits you with a melee attack roll before the spell ends, the creature takes 5 Cold damage. The spell ends early if you have no Temporary Hit Points. 
Using a Higher-Level Spell Slot. The Temporary Hit Points and the Cold damage both increase by 5 for cach spell slot level above 1.
#Warlock</v>
      </c>
      <c r="C17" t="str">
        <f t="shared" si="1"/>
        <v>level 1</v>
      </c>
      <c r="D17" s="1" t="s">
        <v>1197</v>
      </c>
      <c r="E17" t="str">
        <f t="shared" si="2"/>
        <v>level 1</v>
      </c>
      <c r="F17" t="str">
        <f t="shared" si="3"/>
        <v>NULL</v>
      </c>
      <c r="G17" t="str">
        <f>_xlfn.TEXTJOIN(" ",TRUE,IF(IFERROR(MATCH(SUBSTITUTE(A17,".md",""),'Bard Spells'!A:A,0),0)&gt;0,"#Bard",""),IF(IFERROR(MATCH(SUBSTITUTE(A17,".md",""),'Cleric Spells'!A:A,0),0)&gt;0,"#Cleric",""),IF(IFERROR(MATCH(SUBSTITUTE(A17,".md",""),'Druid Spells'!A:A,0),0)&gt;0,"#Druid",""),IF(IFERROR(MATCH(SUBSTITUTE(A17,".md",""),'Paladin Spells'!A:A,0),0)&gt;0,"#Paladin",""),IF(IFERROR(MATCH(SUBSTITUTE(A17,".md",""),'Ranger Spells'!A:A,0),0)&gt;0,"#Ranger",""),IF(IFERROR(MATCH(SUBSTITUTE(A17,".md",""),'Sorcerer Spells'!A:A,0),0)&gt;0,"#Sorcerer",""),IF(IFERROR(MATCH(SUBSTITUTE(A17,".md",""),'Warlock Spells'!A:A,0),0)&gt;0,"#Warlock",""),IF(IFERROR(MATCH(SUBSTITUTE(A17,".md",""),'Wizard Spells'!A:A,0),0)&gt;0,"#Wizard",""))</f>
        <v>#Warlock</v>
      </c>
    </row>
    <row r="18" spans="1:7" ht="135" x14ac:dyDescent="0.25">
      <c r="A18" t="s">
        <v>17</v>
      </c>
      <c r="B18" s="1" t="str">
        <f t="shared" si="0"/>
        <v>level 1 - #conjuration Casting Time: Action Range: Self Components: V, S Duration: Instantaneous 
Invoking Hadar, you cause tendrils to erupt from yourself. Each creature in a 10-foot Emanation originating from you makes a Strength saving throw. On a failed save, a target takes 2d6 Necrotic damage and can't take Reactions until the start of its next turn. On a successful save, a target takes half as much damage only. 
Using a Higher-Level Spell Slot. The damage increases by 1d6 for each spell slot level above 1
#Warlock</v>
      </c>
      <c r="C18" t="str">
        <f t="shared" si="1"/>
        <v>level 1</v>
      </c>
      <c r="D18" s="1" t="s">
        <v>1198</v>
      </c>
      <c r="E18" t="str">
        <f t="shared" si="2"/>
        <v>level 1</v>
      </c>
      <c r="F18" t="str">
        <f t="shared" si="3"/>
        <v>NULL</v>
      </c>
      <c r="G18" t="str">
        <f>_xlfn.TEXTJOIN(" ",TRUE,IF(IFERROR(MATCH(SUBSTITUTE(A18,".md",""),'Bard Spells'!A:A,0),0)&gt;0,"#Bard",""),IF(IFERROR(MATCH(SUBSTITUTE(A18,".md",""),'Cleric Spells'!A:A,0),0)&gt;0,"#Cleric",""),IF(IFERROR(MATCH(SUBSTITUTE(A18,".md",""),'Druid Spells'!A:A,0),0)&gt;0,"#Druid",""),IF(IFERROR(MATCH(SUBSTITUTE(A18,".md",""),'Paladin Spells'!A:A,0),0)&gt;0,"#Paladin",""),IF(IFERROR(MATCH(SUBSTITUTE(A18,".md",""),'Ranger Spells'!A:A,0),0)&gt;0,"#Ranger",""),IF(IFERROR(MATCH(SUBSTITUTE(A18,".md",""),'Sorcerer Spells'!A:A,0),0)&gt;0,"#Sorcerer",""),IF(IFERROR(MATCH(SUBSTITUTE(A18,".md",""),'Warlock Spells'!A:A,0),0)&gt;0,"#Warlock",""),IF(IFERROR(MATCH(SUBSTITUTE(A18,".md",""),'Wizard Spells'!A:A,0),0)&gt;0,"#Wizard",""))</f>
        <v>#Warlock</v>
      </c>
    </row>
    <row r="19" spans="1:7" ht="180" x14ac:dyDescent="0.25">
      <c r="A19" t="s">
        <v>18</v>
      </c>
      <c r="B19" s="1" t="str">
        <f t="shared" si="0"/>
        <v>level 9 - #necromancy Casting Time: 1 hour Range: 10 feet Components: V, S, M (for each of the spell's targes, one jacinth worth 1,000+ GP, all of which the spell consumes) Duration: Until dispelled 
You and up to eight willing creatures within range project your astral bodies into the Astral Plane (the spell ends instantly if you are already on that plane). Each target's body is left behind in a state of suspended animation; it has the Unconscious condition, doesn't need food or air, and doesn't age. 
A target's astral form resembles its body in almost every way, replicating its game statistics and possessions. The principal difference is the addition of a silvery cord that trails from between the shoulder blades of the astral form. The cord fades from view after 1 foot. If the cord is cutâ€”which happens only when an effect states that it does soâ€”the target's body and astral form both die. A target's astral form can travel through the Astral Plane. The moment an astral form leaves that plane, the target's body and possessions travel along the silver cord, causing the target to re- #enter its body on the new plane. 
Any damage or other effects that apply to an astral form have no effect on the target's body and vice versa. If a target's body or astral form drops to 0 Hit Points, the spell ends for that target. The spell ends for all the targets if you take a Magic action to dismiss it. When the spell ends for a target who isn't dead, the target reappears in its body and exits the state of suspended animation.
#Cleric #Warlock #Wizard</v>
      </c>
      <c r="C19" t="str">
        <f t="shared" si="1"/>
        <v>level 9</v>
      </c>
      <c r="D19" s="1" t="s">
        <v>1199</v>
      </c>
      <c r="E19" t="str">
        <f t="shared" si="2"/>
        <v>level 9</v>
      </c>
      <c r="F19" t="str">
        <f t="shared" si="3"/>
        <v>NULL</v>
      </c>
      <c r="G19" t="str">
        <f>_xlfn.TEXTJOIN(" ",TRUE,IF(IFERROR(MATCH(SUBSTITUTE(A19,".md",""),'Bard Spells'!A:A,0),0)&gt;0,"#Bard",""),IF(IFERROR(MATCH(SUBSTITUTE(A19,".md",""),'Cleric Spells'!A:A,0),0)&gt;0,"#Cleric",""),IF(IFERROR(MATCH(SUBSTITUTE(A19,".md",""),'Druid Spells'!A:A,0),0)&gt;0,"#Druid",""),IF(IFERROR(MATCH(SUBSTITUTE(A19,".md",""),'Paladin Spells'!A:A,0),0)&gt;0,"#Paladin",""),IF(IFERROR(MATCH(SUBSTITUTE(A19,".md",""),'Ranger Spells'!A:A,0),0)&gt;0,"#Ranger",""),IF(IFERROR(MATCH(SUBSTITUTE(A19,".md",""),'Sorcerer Spells'!A:A,0),0)&gt;0,"#Sorcerer",""),IF(IFERROR(MATCH(SUBSTITUTE(A19,".md",""),'Warlock Spells'!A:A,0),0)&gt;0,"#Warlock",""),IF(IFERROR(MATCH(SUBSTITUTE(A19,".md",""),'Wizard Spells'!A:A,0),0)&gt;0,"#Wizard",""))</f>
        <v>#Cleric #Warlock #Wizard</v>
      </c>
    </row>
    <row r="20" spans="1:7" ht="255" x14ac:dyDescent="0.25">
      <c r="A20" t="s">
        <v>19</v>
      </c>
      <c r="B20" s="1" t="str">
        <f t="shared" si="0"/>
        <v>level 2 - #divination ( #ritual ) Casting Time: 1 minute or Ritual Range: Self Components: V, S, M (special marked sticks, bones, cards, or other divinatory tokens worth 25+ GP) Duration: Instantaneous
You receive an omen from an otherworldly entity about the results of a course of action that you plan to take within the next 30 minutes. The DM chooses the omen from the Omens table. 
| **Omen**     | **For Results That Will Be...** |
| ------------ | ------------------------------- |
|              |                                 |
| Weal         | Good                            |
| Woe          | Bad                             |
| Weal and woe | Good and bad                    |
| Indifference | Neither good nor bad            |
The spell doesn't account for circumstances, such as other spells, that might change the results. If you cast the spell more than once before finishing a Long Rest, there is a cumulative 25 percent chance for each casting after the first that you get no answer.
#Cleric #Druid #Wizard</v>
      </c>
      <c r="C20" t="str">
        <f t="shared" si="1"/>
        <v>level 2</v>
      </c>
      <c r="D20" s="1" t="s">
        <v>1200</v>
      </c>
      <c r="E20" t="str">
        <f t="shared" si="2"/>
        <v>level 2</v>
      </c>
      <c r="F20" t="str">
        <f t="shared" si="3"/>
        <v>NULL</v>
      </c>
      <c r="G20" t="str">
        <f>_xlfn.TEXTJOIN(" ",TRUE,IF(IFERROR(MATCH(SUBSTITUTE(A20,".md",""),'Bard Spells'!A:A,0),0)&gt;0,"#Bard",""),IF(IFERROR(MATCH(SUBSTITUTE(A20,".md",""),'Cleric Spells'!A:A,0),0)&gt;0,"#Cleric",""),IF(IFERROR(MATCH(SUBSTITUTE(A20,".md",""),'Druid Spells'!A:A,0),0)&gt;0,"#Druid",""),IF(IFERROR(MATCH(SUBSTITUTE(A20,".md",""),'Paladin Spells'!A:A,0),0)&gt;0,"#Paladin",""),IF(IFERROR(MATCH(SUBSTITUTE(A20,".md",""),'Ranger Spells'!A:A,0),0)&gt;0,"#Ranger",""),IF(IFERROR(MATCH(SUBSTITUTE(A20,".md",""),'Sorcerer Spells'!A:A,0),0)&gt;0,"#Sorcerer",""),IF(IFERROR(MATCH(SUBSTITUTE(A20,".md",""),'Warlock Spells'!A:A,0),0)&gt;0,"#Warlock",""),IF(IFERROR(MATCH(SUBSTITUTE(A20,".md",""),'Wizard Spells'!A:A,0),0)&gt;0,"#Wizard",""))</f>
        <v>#Cleric #Druid #Wizard</v>
      </c>
    </row>
    <row r="21" spans="1:7" ht="105" x14ac:dyDescent="0.25">
      <c r="A21" t="s">
        <v>20</v>
      </c>
      <c r="B21" s="1" t="str">
        <f t="shared" si="0"/>
        <v>level 4 - #abjuration Casting Time: Action Range: Self Components: V Duration: #Concentration, up to 10 minutes 
An aura radiates from you in a 30-foot Emanation for the duration. While in the aura, you and your allies have Resistance to Necrotic damage, and your Hit Point maximums can't be reduced. If an ally with 0 Hit Points starts its turn in the aura, that ally regains 1 Hit Point.
#Cleric #Paladin</v>
      </c>
      <c r="C21" t="str">
        <f t="shared" si="1"/>
        <v>level 4</v>
      </c>
      <c r="D21" s="1" t="s">
        <v>1201</v>
      </c>
      <c r="E21" t="str">
        <f t="shared" si="2"/>
        <v>level 4</v>
      </c>
      <c r="F21" t="str">
        <f t="shared" si="3"/>
        <v>NULL</v>
      </c>
      <c r="G21" t="str">
        <f>_xlfn.TEXTJOIN(" ",TRUE,IF(IFERROR(MATCH(SUBSTITUTE(A21,".md",""),'Bard Spells'!A:A,0),0)&gt;0,"#Bard",""),IF(IFERROR(MATCH(SUBSTITUTE(A21,".md",""),'Cleric Spells'!A:A,0),0)&gt;0,"#Cleric",""),IF(IFERROR(MATCH(SUBSTITUTE(A21,".md",""),'Druid Spells'!A:A,0),0)&gt;0,"#Druid",""),IF(IFERROR(MATCH(SUBSTITUTE(A21,".md",""),'Paladin Spells'!A:A,0),0)&gt;0,"#Paladin",""),IF(IFERROR(MATCH(SUBSTITUTE(A21,".md",""),'Ranger Spells'!A:A,0),0)&gt;0,"#Ranger",""),IF(IFERROR(MATCH(SUBSTITUTE(A21,".md",""),'Sorcerer Spells'!A:A,0),0)&gt;0,"#Sorcerer",""),IF(IFERROR(MATCH(SUBSTITUTE(A21,".md",""),'Warlock Spells'!A:A,0),0)&gt;0,"#Warlock",""),IF(IFERROR(MATCH(SUBSTITUTE(A21,".md",""),'Wizard Spells'!A:A,0),0)&gt;0,"#Wizard",""))</f>
        <v>#Cleric #Paladin</v>
      </c>
    </row>
    <row r="22" spans="1:7" ht="105" x14ac:dyDescent="0.25">
      <c r="A22" t="s">
        <v>21</v>
      </c>
      <c r="B22" s="1" t="str">
        <f t="shared" si="0"/>
        <v>level 4 - #abjuration Casting Time: Action Range: Self Components: V Duration: #Concentration, up to 10 minutes 
An aura radiates from you in a 30-foot Emanation for the duration. While in the aura, you and your allies have Resistance to Poison damage and Advantage on saving throws to avoid or end effects that include the Blinded, Charmed, Deafened, Frightened, Paralyzed, Poisoned, or Stunned condition.
#Cleric #Paladin</v>
      </c>
      <c r="C22" t="str">
        <f t="shared" si="1"/>
        <v>level 4</v>
      </c>
      <c r="D22" s="1" t="s">
        <v>1202</v>
      </c>
      <c r="E22" t="str">
        <f t="shared" si="2"/>
        <v>level 4</v>
      </c>
      <c r="F22" t="str">
        <f t="shared" si="3"/>
        <v>NULL</v>
      </c>
      <c r="G22" t="str">
        <f>_xlfn.TEXTJOIN(" ",TRUE,IF(IFERROR(MATCH(SUBSTITUTE(A22,".md",""),'Bard Spells'!A:A,0),0)&gt;0,"#Bard",""),IF(IFERROR(MATCH(SUBSTITUTE(A22,".md",""),'Cleric Spells'!A:A,0),0)&gt;0,"#Cleric",""),IF(IFERROR(MATCH(SUBSTITUTE(A22,".md",""),'Druid Spells'!A:A,0),0)&gt;0,"#Druid",""),IF(IFERROR(MATCH(SUBSTITUTE(A22,".md",""),'Paladin Spells'!A:A,0),0)&gt;0,"#Paladin",""),IF(IFERROR(MATCH(SUBSTITUTE(A22,".md",""),'Ranger Spells'!A:A,0),0)&gt;0,"#Ranger",""),IF(IFERROR(MATCH(SUBSTITUTE(A22,".md",""),'Sorcerer Spells'!A:A,0),0)&gt;0,"#Sorcerer",""),IF(IFERROR(MATCH(SUBSTITUTE(A22,".md",""),'Warlock Spells'!A:A,0),0)&gt;0,"#Warlock",""),IF(IFERROR(MATCH(SUBSTITUTE(A22,".md",""),'Wizard Spells'!A:A,0),0)&gt;0,"#Wizard",""))</f>
        <v>#Cleric #Paladin</v>
      </c>
    </row>
    <row r="23" spans="1:7" ht="90" x14ac:dyDescent="0.25">
      <c r="A23" t="s">
        <v>22</v>
      </c>
      <c r="B23" s="1" t="str">
        <f t="shared" si="0"/>
        <v>level 3 - #abjuration Casting Time: Action Range: Self Components: V Duration: #Concentration, up to 1 minute 
An aura radiates from you in a 30-foot Emanation for the duration. When you create the aura and at the start of each of your turns while it persists, you can restore 2d6 Hit Points to one creature in it.
#Cleric #Druid #Paladin</v>
      </c>
      <c r="C23" t="str">
        <f t="shared" si="1"/>
        <v>level 3</v>
      </c>
      <c r="D23" s="1" t="s">
        <v>1203</v>
      </c>
      <c r="E23" t="str">
        <f t="shared" si="2"/>
        <v>level 3</v>
      </c>
      <c r="F23" t="str">
        <f t="shared" si="3"/>
        <v>NULL</v>
      </c>
      <c r="G23" t="str">
        <f>_xlfn.TEXTJOIN(" ",TRUE,IF(IFERROR(MATCH(SUBSTITUTE(A23,".md",""),'Bard Spells'!A:A,0),0)&gt;0,"#Bard",""),IF(IFERROR(MATCH(SUBSTITUTE(A23,".md",""),'Cleric Spells'!A:A,0),0)&gt;0,"#Cleric",""),IF(IFERROR(MATCH(SUBSTITUTE(A23,".md",""),'Druid Spells'!A:A,0),0)&gt;0,"#Druid",""),IF(IFERROR(MATCH(SUBSTITUTE(A23,".md",""),'Paladin Spells'!A:A,0),0)&gt;0,"#Paladin",""),IF(IFERROR(MATCH(SUBSTITUTE(A23,".md",""),'Ranger Spells'!A:A,0),0)&gt;0,"#Ranger",""),IF(IFERROR(MATCH(SUBSTITUTE(A23,".md",""),'Sorcerer Spells'!A:A,0),0)&gt;0,"#Sorcerer",""),IF(IFERROR(MATCH(SUBSTITUTE(A23,".md",""),'Warlock Spells'!A:A,0),0)&gt;0,"#Warlock",""),IF(IFERROR(MATCH(SUBSTITUTE(A23,".md",""),'Wizard Spells'!A:A,0),0)&gt;0,"#Wizard",""))</f>
        <v>#Cleric #Druid #Paladin</v>
      </c>
    </row>
    <row r="24" spans="1:7" ht="150" x14ac:dyDescent="0.25">
      <c r="A24" t="s">
        <v>23</v>
      </c>
      <c r="B24" s="1" t="str">
        <f t="shared" si="0"/>
        <v>level 5 - #transmutation Casting Time: 8 hours Range: Touch Components: V, S, M (an agate worth 1,000+ GP, which the spell consumes) Duration: Instantaneous 
You spend the casting time tracing magical pathways within a precious gemstone, and then touch the target. The target must be either a Beast or Plant creature with an Intelligence of 3 or less or a natural plant that isn't a creature. The target gains an Intelligence of 10 and the ability to speak one language you know. If the target is a natural plant, it becomes a Plant creature and gains the ability to move its limbs, roots, vines, creepers, and so forth, and it gains senses similar to a human's. The DM chooses statistics appropriate for the awakened Plant, such as the statistics for the Awakened Shrub or Awakened Tree in the Monster Manual. 
The awakened target has the Charmed condition for 30 days or until you or your allies deal damage to it. When that condition ends, the awakened creature chooses its attitude toward you.
#Bard #Druid</v>
      </c>
      <c r="C24" t="str">
        <f t="shared" si="1"/>
        <v>level 5</v>
      </c>
      <c r="D24" s="1" t="s">
        <v>1204</v>
      </c>
      <c r="E24" t="str">
        <f t="shared" si="2"/>
        <v>level 5</v>
      </c>
      <c r="F24" t="str">
        <f t="shared" si="3"/>
        <v>NULL</v>
      </c>
      <c r="G24" t="str">
        <f>_xlfn.TEXTJOIN(" ",TRUE,IF(IFERROR(MATCH(SUBSTITUTE(A24,".md",""),'Bard Spells'!A:A,0),0)&gt;0,"#Bard",""),IF(IFERROR(MATCH(SUBSTITUTE(A24,".md",""),'Cleric Spells'!A:A,0),0)&gt;0,"#Cleric",""),IF(IFERROR(MATCH(SUBSTITUTE(A24,".md",""),'Druid Spells'!A:A,0),0)&gt;0,"#Druid",""),IF(IFERROR(MATCH(SUBSTITUTE(A24,".md",""),'Paladin Spells'!A:A,0),0)&gt;0,"#Paladin",""),IF(IFERROR(MATCH(SUBSTITUTE(A24,".md",""),'Ranger Spells'!A:A,0),0)&gt;0,"#Ranger",""),IF(IFERROR(MATCH(SUBSTITUTE(A24,".md",""),'Sorcerer Spells'!A:A,0),0)&gt;0,"#Sorcerer",""),IF(IFERROR(MATCH(SUBSTITUTE(A24,".md",""),'Warlock Spells'!A:A,0),0)&gt;0,"#Warlock",""),IF(IFERROR(MATCH(SUBSTITUTE(A24,".md",""),'Wizard Spells'!A:A,0),0)&gt;0,"#Wizard",""))</f>
        <v>#Bard #Druid</v>
      </c>
    </row>
    <row r="25" spans="1:7" ht="120" x14ac:dyDescent="0.25">
      <c r="A25" t="s">
        <v>24</v>
      </c>
      <c r="B25" s="1" t="str">
        <f t="shared" si="0"/>
        <v>level 1 - #enchantment Casting Time: Action Range: 30 feet Components: V, S, M (a drop of blood) Duration: #Concentration, up to 1 minute 
Up to three creatures of your choice that you can see within range must each make a Charisma saving throw. Whenever a target that fails this save makes an attack roll or a saving throw before the spell ends, the target must subtract 1d4 from the attack roll or save. 
Using a Higher-Level Spell Slot. You can target one additional creature for each spell slot level above 1.
#Bard #Cleric #Warlock</v>
      </c>
      <c r="C25" t="str">
        <f t="shared" si="1"/>
        <v>level 1</v>
      </c>
      <c r="D25" s="1" t="s">
        <v>1205</v>
      </c>
      <c r="E25" t="str">
        <f t="shared" si="2"/>
        <v>level 1</v>
      </c>
      <c r="F25" t="str">
        <f t="shared" si="3"/>
        <v>NULL</v>
      </c>
      <c r="G25" t="str">
        <f>_xlfn.TEXTJOIN(" ",TRUE,IF(IFERROR(MATCH(SUBSTITUTE(A25,".md",""),'Bard Spells'!A:A,0),0)&gt;0,"#Bard",""),IF(IFERROR(MATCH(SUBSTITUTE(A25,".md",""),'Cleric Spells'!A:A,0),0)&gt;0,"#Cleric",""),IF(IFERROR(MATCH(SUBSTITUTE(A25,".md",""),'Druid Spells'!A:A,0),0)&gt;0,"#Druid",""),IF(IFERROR(MATCH(SUBSTITUTE(A25,".md",""),'Paladin Spells'!A:A,0),0)&gt;0,"#Paladin",""),IF(IFERROR(MATCH(SUBSTITUTE(A25,".md",""),'Ranger Spells'!A:A,0),0)&gt;0,"#Ranger",""),IF(IFERROR(MATCH(SUBSTITUTE(A25,".md",""),'Sorcerer Spells'!A:A,0),0)&gt;0,"#Sorcerer",""),IF(IFERROR(MATCH(SUBSTITUTE(A25,".md",""),'Warlock Spells'!A:A,0),0)&gt;0,"#Warlock",""),IF(IFERROR(MATCH(SUBSTITUTE(A25,".md",""),'Wizard Spells'!A:A,0),0)&gt;0,"#Wizard",""))</f>
        <v>#Bard #Cleric #Warlock</v>
      </c>
    </row>
    <row r="26" spans="1:7" ht="120" x14ac:dyDescent="0.25">
      <c r="A26" t="s">
        <v>25</v>
      </c>
      <c r="B26" s="1" t="str">
        <f t="shared" si="0"/>
        <v>level 5 - #conjuration Casting Time: #BonusAction, which you take immediately after hitting a creature with a Melee weapon or an Unarmed Strike Range: Self Components: V Duration: #Concentration, up to 1 minute
The target hit by the attack roll takes an extra 5d10 Force damage from the attack. If the attack reduces the target to 50 Hit Points or fewer, the target must succeed on a Charisma saving throw or be transported to a harmless demiplane for the duration. While there, the target has the Incapacitated condition. When the spell ends, the target reappears in the space it left or in the nearest unoccupied space if that space is occupied.
#Paladin</v>
      </c>
      <c r="C26" t="str">
        <f t="shared" si="1"/>
        <v>level 5</v>
      </c>
      <c r="D26" s="1" t="s">
        <v>1206</v>
      </c>
      <c r="E26" t="str">
        <f t="shared" si="2"/>
        <v>level 5</v>
      </c>
      <c r="F26" t="str">
        <f t="shared" si="3"/>
        <v>NULL</v>
      </c>
      <c r="G26" t="str">
        <f>_xlfn.TEXTJOIN(" ",TRUE,IF(IFERROR(MATCH(SUBSTITUTE(A26,".md",""),'Bard Spells'!A:A,0),0)&gt;0,"#Bard",""),IF(IFERROR(MATCH(SUBSTITUTE(A26,".md",""),'Cleric Spells'!A:A,0),0)&gt;0,"#Cleric",""),IF(IFERROR(MATCH(SUBSTITUTE(A26,".md",""),'Druid Spells'!A:A,0),0)&gt;0,"#Druid",""),IF(IFERROR(MATCH(SUBSTITUTE(A26,".md",""),'Paladin Spells'!A:A,0),0)&gt;0,"#Paladin",""),IF(IFERROR(MATCH(SUBSTITUTE(A26,".md",""),'Ranger Spells'!A:A,0),0)&gt;0,"#Ranger",""),IF(IFERROR(MATCH(SUBSTITUTE(A26,".md",""),'Sorcerer Spells'!A:A,0),0)&gt;0,"#Sorcerer",""),IF(IFERROR(MATCH(SUBSTITUTE(A26,".md",""),'Warlock Spells'!A:A,0),0)&gt;0,"#Warlock",""),IF(IFERROR(MATCH(SUBSTITUTE(A26,".md",""),'Wizard Spells'!A:A,0),0)&gt;0,"#Wizard",""))</f>
        <v>#Paladin</v>
      </c>
    </row>
    <row r="27" spans="1:7" ht="150" x14ac:dyDescent="0.25">
      <c r="A27" t="s">
        <v>26</v>
      </c>
      <c r="B27" s="1" t="str">
        <f t="shared" si="0"/>
        <v>level 4 - #abjuration Casting Time: Action Range: 30 feet Components: V, S, M (a pentacle) Duration: #Concentration, up to 1 minute 
One creature that you can see within range must succeed on a Charisma saving throw or be transported to a harmless demiplane for the duration. While there, the target has the Incapacitated condition. When the spell ends, the target reappears in the space it left or in the nearest unoccupied space if that space is occupied. If the target is an Aberration, a Celestial, an Elemental, a Fey, or a Fiend, the target doesn't return if the spell lasts for 1 minute. The target is instead transported to a random location on a plane (DM's choice) associated with its creature type. 
Using a Higher-Level Spell Slot. You can target one additional creature for each spell slot level above 4
#Cleric #Paladin #Sorcerer #Warlock #Wizard</v>
      </c>
      <c r="C27" t="str">
        <f t="shared" si="1"/>
        <v>level 4</v>
      </c>
      <c r="D27" s="1" t="s">
        <v>1207</v>
      </c>
      <c r="E27" t="str">
        <f t="shared" si="2"/>
        <v>level 4</v>
      </c>
      <c r="F27" t="str">
        <f t="shared" si="3"/>
        <v>NULL</v>
      </c>
      <c r="G27" t="str">
        <f>_xlfn.TEXTJOIN(" ",TRUE,IF(IFERROR(MATCH(SUBSTITUTE(A27,".md",""),'Bard Spells'!A:A,0),0)&gt;0,"#Bard",""),IF(IFERROR(MATCH(SUBSTITUTE(A27,".md",""),'Cleric Spells'!A:A,0),0)&gt;0,"#Cleric",""),IF(IFERROR(MATCH(SUBSTITUTE(A27,".md",""),'Druid Spells'!A:A,0),0)&gt;0,"#Druid",""),IF(IFERROR(MATCH(SUBSTITUTE(A27,".md",""),'Paladin Spells'!A:A,0),0)&gt;0,"#Paladin",""),IF(IFERROR(MATCH(SUBSTITUTE(A27,".md",""),'Ranger Spells'!A:A,0),0)&gt;0,"#Ranger",""),IF(IFERROR(MATCH(SUBSTITUTE(A27,".md",""),'Sorcerer Spells'!A:A,0),0)&gt;0,"#Sorcerer",""),IF(IFERROR(MATCH(SUBSTITUTE(A27,".md",""),'Warlock Spells'!A:A,0),0)&gt;0,"#Warlock",""),IF(IFERROR(MATCH(SUBSTITUTE(A27,".md",""),'Wizard Spells'!A:A,0),0)&gt;0,"#Wizard",""))</f>
        <v>#Cleric #Paladin #Sorcerer #Warlock #Wizard</v>
      </c>
    </row>
    <row r="28" spans="1:7" ht="90" x14ac:dyDescent="0.25">
      <c r="A28" t="s">
        <v>27</v>
      </c>
      <c r="B28" s="1" t="str">
        <f t="shared" si="0"/>
        <v>level 2 - #transmutation Casting Time: #BonusAction Range: Touch Components: V, S, M (a handful of bark) Duration: 1 hour 
You touch a willing creature. Until the spell ends, the target's skin assumes a bark-like appearance, and the target has an Armor Class of 17 if its AC is lower than that.
#Druid #Ranger</v>
      </c>
      <c r="C28" t="str">
        <f t="shared" si="1"/>
        <v>level 2</v>
      </c>
      <c r="D28" s="1" t="s">
        <v>1208</v>
      </c>
      <c r="E28" t="str">
        <f t="shared" si="2"/>
        <v>level 2</v>
      </c>
      <c r="F28" t="str">
        <f t="shared" si="3"/>
        <v>NULL</v>
      </c>
      <c r="G28" t="str">
        <f>_xlfn.TEXTJOIN(" ",TRUE,IF(IFERROR(MATCH(SUBSTITUTE(A28,".md",""),'Bard Spells'!A:A,0),0)&gt;0,"#Bard",""),IF(IFERROR(MATCH(SUBSTITUTE(A28,".md",""),'Cleric Spells'!A:A,0),0)&gt;0,"#Cleric",""),IF(IFERROR(MATCH(SUBSTITUTE(A28,".md",""),'Druid Spells'!A:A,0),0)&gt;0,"#Druid",""),IF(IFERROR(MATCH(SUBSTITUTE(A28,".md",""),'Paladin Spells'!A:A,0),0)&gt;0,"#Paladin",""),IF(IFERROR(MATCH(SUBSTITUTE(A28,".md",""),'Ranger Spells'!A:A,0),0)&gt;0,"#Ranger",""),IF(IFERROR(MATCH(SUBSTITUTE(A28,".md",""),'Sorcerer Spells'!A:A,0),0)&gt;0,"#Sorcerer",""),IF(IFERROR(MATCH(SUBSTITUTE(A28,".md",""),'Warlock Spells'!A:A,0),0)&gt;0,"#Warlock",""),IF(IFERROR(MATCH(SUBSTITUTE(A28,".md",""),'Wizard Spells'!A:A,0),0)&gt;0,"#Wizard",""))</f>
        <v>#Druid #Ranger</v>
      </c>
    </row>
    <row r="29" spans="1:7" ht="105" x14ac:dyDescent="0.25">
      <c r="A29" t="s">
        <v>28</v>
      </c>
      <c r="B29" s="1" t="str">
        <f t="shared" si="0"/>
        <v>level 3 - #abjuration Casting Time: Action Range: 30 feet Components: V, S Duration: #Concentration, up to 1 minute 
Choose any number of creatures within range. For the duration, each target has Advantage on Wisdom saving throws and Death Saving Throws and regains the maximum number of Hit Points possible from any healing
#Cleric</v>
      </c>
      <c r="C29" t="str">
        <f t="shared" si="1"/>
        <v>level 3</v>
      </c>
      <c r="D29" s="1" t="s">
        <v>1209</v>
      </c>
      <c r="E29" t="str">
        <f t="shared" si="2"/>
        <v>level 3</v>
      </c>
      <c r="F29" t="str">
        <f t="shared" si="3"/>
        <v>NULL</v>
      </c>
      <c r="G29" t="str">
        <f>_xlfn.TEXTJOIN(" ",TRUE,IF(IFERROR(MATCH(SUBSTITUTE(A29,".md",""),'Bard Spells'!A:A,0),0)&gt;0,"#Bard",""),IF(IFERROR(MATCH(SUBSTITUTE(A29,".md",""),'Cleric Spells'!A:A,0),0)&gt;0,"#Cleric",""),IF(IFERROR(MATCH(SUBSTITUTE(A29,".md",""),'Druid Spells'!A:A,0),0)&gt;0,"#Druid",""),IF(IFERROR(MATCH(SUBSTITUTE(A29,".md",""),'Paladin Spells'!A:A,0),0)&gt;0,"#Paladin",""),IF(IFERROR(MATCH(SUBSTITUTE(A29,".md",""),'Ranger Spells'!A:A,0),0)&gt;0,"#Ranger",""),IF(IFERROR(MATCH(SUBSTITUTE(A29,".md",""),'Sorcerer Spells'!A:A,0),0)&gt;0,"#Sorcerer",""),IF(IFERROR(MATCH(SUBSTITUTE(A29,".md",""),'Warlock Spells'!A:A,0),0)&gt;0,"#Warlock",""),IF(IFERROR(MATCH(SUBSTITUTE(A29,".md",""),'Wizard Spells'!A:A,0),0)&gt;0,"#Wizard",""))</f>
        <v>#Cleric</v>
      </c>
    </row>
    <row r="30" spans="1:7" ht="90" x14ac:dyDescent="0.25">
      <c r="A30" t="s">
        <v>29</v>
      </c>
      <c r="B30" s="1" t="str">
        <f t="shared" si="0"/>
        <v>level 2 - #divination ( #ritual ) Casting Time: Action or Ritual Range: Touch Components: S Duration: #Concentration, up to 1 hour 
You touch a willing Beast. For the duration, you can perceive through the Beast's senses as well as your own. When perceiving through the Beast's senses, you benefit from any special senses it has
#Druid #Ranger</v>
      </c>
      <c r="C30" t="str">
        <f t="shared" si="1"/>
        <v>level 2</v>
      </c>
      <c r="D30" s="1" t="s">
        <v>1210</v>
      </c>
      <c r="E30" t="str">
        <f t="shared" si="2"/>
        <v>level 2</v>
      </c>
      <c r="F30" t="str">
        <f t="shared" si="3"/>
        <v>NULL</v>
      </c>
      <c r="G30" t="str">
        <f>_xlfn.TEXTJOIN(" ",TRUE,IF(IFERROR(MATCH(SUBSTITUTE(A30,".md",""),'Bard Spells'!A:A,0),0)&gt;0,"#Bard",""),IF(IFERROR(MATCH(SUBSTITUTE(A30,".md",""),'Cleric Spells'!A:A,0),0)&gt;0,"#Cleric",""),IF(IFERROR(MATCH(SUBSTITUTE(A30,".md",""),'Druid Spells'!A:A,0),0)&gt;0,"#Druid",""),IF(IFERROR(MATCH(SUBSTITUTE(A30,".md",""),'Paladin Spells'!A:A,0),0)&gt;0,"#Paladin",""),IF(IFERROR(MATCH(SUBSTITUTE(A30,".md",""),'Ranger Spells'!A:A,0),0)&gt;0,"#Ranger",""),IF(IFERROR(MATCH(SUBSTITUTE(A30,".md",""),'Sorcerer Spells'!A:A,0),0)&gt;0,"#Sorcerer",""),IF(IFERROR(MATCH(SUBSTITUTE(A30,".md",""),'Warlock Spells'!A:A,0),0)&gt;0,"#Warlock",""),IF(IFERROR(MATCH(SUBSTITUTE(A30,".md",""),'Wizard Spells'!A:A,0),0)&gt;0,"#Wizard",""))</f>
        <v>#Druid #Ranger</v>
      </c>
    </row>
    <row r="31" spans="1:7" ht="90" x14ac:dyDescent="0.25">
      <c r="A31" t="s">
        <v>30</v>
      </c>
      <c r="B31" s="1" t="str">
        <f t="shared" si="0"/>
        <v>level 8 - #enchantment Casting Time: Action Range: 150 feet Components: V, S, M (a key ring with no keys) Duration: Instantaneous
Description not available (not OGL)
#Bard #Druid #Warlock #Wizard</v>
      </c>
      <c r="C31" t="str">
        <f t="shared" si="1"/>
        <v>level 8</v>
      </c>
      <c r="D31" s="1" t="s">
        <v>1211</v>
      </c>
      <c r="E31" t="str">
        <f t="shared" si="2"/>
        <v>level 8</v>
      </c>
      <c r="F31" t="str">
        <f t="shared" si="3"/>
        <v>NULL</v>
      </c>
      <c r="G31" t="str">
        <f>_xlfn.TEXTJOIN(" ",TRUE,IF(IFERROR(MATCH(SUBSTITUTE(A31,".md",""),'Bard Spells'!A:A,0),0)&gt;0,"#Bard",""),IF(IFERROR(MATCH(SUBSTITUTE(A31,".md",""),'Cleric Spells'!A:A,0),0)&gt;0,"#Cleric",""),IF(IFERROR(MATCH(SUBSTITUTE(A31,".md",""),'Druid Spells'!A:A,0),0)&gt;0,"#Druid",""),IF(IFERROR(MATCH(SUBSTITUTE(A31,".md",""),'Paladin Spells'!A:A,0),0)&gt;0,"#Paladin",""),IF(IFERROR(MATCH(SUBSTITUTE(A31,".md",""),'Ranger Spells'!A:A,0),0)&gt;0,"#Ranger",""),IF(IFERROR(MATCH(SUBSTITUTE(A31,".md",""),'Sorcerer Spells'!A:A,0),0)&gt;0,"#Sorcerer",""),IF(IFERROR(MATCH(SUBSTITUTE(A31,".md",""),'Warlock Spells'!A:A,0),0)&gt;0,"#Warlock",""),IF(IFERROR(MATCH(SUBSTITUTE(A31,".md",""),'Wizard Spells'!A:A,0),0)&gt;0,"#Wizard",""))</f>
        <v>#Bard #Druid #Warlock #Wizard</v>
      </c>
    </row>
    <row r="32" spans="1:7" ht="180" x14ac:dyDescent="0.25">
      <c r="A32" t="s">
        <v>31</v>
      </c>
      <c r="B32" s="1" t="str">
        <f t="shared" si="0"/>
        <v>level 3 - #necromancy Casting Time: Action Range: Touch Components: V, S Duration: #Concentration, up to 1 minute 
You touch a creature, which must succeed on a Wisdom saving throw or become cursed for the duration. Until the curse ends, the target suffers one of the following effects of your choice: 
â€¢ Choose one ability. The target has Disadvantage on ability checks and saving throws made with that ability. â€¢ The target has Disadvantage on attack rolls against you. 
â€¢ In combat, the target must succeed on a Wisdom saving throw at the start of each of its turns or be forced to take the Dodge action on that turn. 
â€¢ If you deal damage to the target with an attack roll or a spell, the target takes an extra 1d8 Necrotic damage. 
Using a Higher-Level Spell Slot. If you cast this spell using a level 4 spell slot, you can maintain #Concentration on it for up to 10 minutes. If you use a level 5+ spell slot, the spell doesn't require #Concentration, and the duration becomes 8 hours (level 5-6 slot) or 24 hours (level 7-8 slot). If you use a level 9 spell slot, the spell lasts until dispelled_x000D_
#Bard #Cleric #Wizard</v>
      </c>
      <c r="C32" t="str">
        <f t="shared" si="1"/>
        <v>level 3</v>
      </c>
      <c r="D32" s="1" t="s">
        <v>659</v>
      </c>
      <c r="E32" t="str">
        <f t="shared" si="2"/>
        <v>level 3</v>
      </c>
      <c r="F32" t="str">
        <f t="shared" si="3"/>
        <v>NULL</v>
      </c>
      <c r="G32" t="str">
        <f>_xlfn.TEXTJOIN(" ",TRUE,IF(IFERROR(MATCH(SUBSTITUTE(A32,".md",""),'Bard Spells'!A:A,0),0)&gt;0,"#Bard",""),IF(IFERROR(MATCH(SUBSTITUTE(A32,".md",""),'Cleric Spells'!A:A,0),0)&gt;0,"#Cleric",""),IF(IFERROR(MATCH(SUBSTITUTE(A32,".md",""),'Druid Spells'!A:A,0),0)&gt;0,"#Druid",""),IF(IFERROR(MATCH(SUBSTITUTE(A32,".md",""),'Paladin Spells'!A:A,0),0)&gt;0,"#Paladin",""),IF(IFERROR(MATCH(SUBSTITUTE(A32,".md",""),'Ranger Spells'!A:A,0),0)&gt;0,"#Ranger",""),IF(IFERROR(MATCH(SUBSTITUTE(A32,".md",""),'Sorcerer Spells'!A:A,0),0)&gt;0,"#Sorcerer",""),IF(IFERROR(MATCH(SUBSTITUTE(A32,".md",""),'Warlock Spells'!A:A,0),0)&gt;0,"#Warlock",""),IF(IFERROR(MATCH(SUBSTITUTE(A32,".md",""),'Wizard Spells'!A:A,0),0)&gt;0,"#Wizard",""))</f>
        <v>#Bard #Cleric #Wizard</v>
      </c>
    </row>
    <row r="33" spans="1:7" ht="240" x14ac:dyDescent="0.25">
      <c r="A33" t="s">
        <v>32</v>
      </c>
      <c r="B33" s="1" t="str">
        <f t="shared" si="0"/>
        <v>level 5 - #evocation Casting Time: Action Range: 120 feet Components: V, S, M (an eggshell and a glove) Duration: #Concentration, up to 1 minute 
You create a Large hand of shimmering magical energy in an unoccupied space that you can see within range. The hand lasts for the duration, and it moves at your command, mimicking the movements of your own hand. The hand is an object that has AC 20 and Hit Points equal to your Hit Point maximum. If it drops to 0 Hit Points, the spell ends. The hand doesn't occupy its space. When you cast the spell and as a Bonus Action on your later turns, you can move the hand up to 60 feet and then cause one of the following effects: 
**Clenched Fist.** The hand strikes a target within 5 feet of it. Make a melee spell attack. On a hit, the target takes 5d8 Force damage. Forceful Hand. The hand attempts to push a Huge or smaller creature within 5 feet of it. The target must succeed on a Strength saving throw, or the hand pushes the target up to 5 feet plus a number of feet equal to five times your spellcasting ability modifier. The hand moves with the target, remaining within 5 feet of it. 
**Grasping Hand.** The hand attempts to grapple a Huge or smaller creature within 5 feet of it. The target must succeed on a Dexterity saving throw, or the target has the Grappled condition, with an escape DC equal to your spell save DC. While the hand grapples the target, you can take a Bonus Action to cause the hand to crush it, dealing Bludgeoning damage to the target equal to 4d6 plus your spellcasting ability modifier. 
**Interposing Hand.** The hand grants you Half Cover against attacks and other effects that originate from its space or that pass through it. In addition, its space counts as Difficult Terrain for your enemies. 
Using a Higher-Level Spell Slot. The damage of the Clenched Fist increases by 2d8 and the damage of the Grasping Hand increases by 2d6 for each spell slot level above 5_x000D_
#Sorcerer #Wizard</v>
      </c>
      <c r="C33" t="str">
        <f t="shared" si="1"/>
        <v>level 5</v>
      </c>
      <c r="D33" s="1" t="s">
        <v>660</v>
      </c>
      <c r="E33" t="str">
        <f t="shared" si="2"/>
        <v>level 5</v>
      </c>
      <c r="F33" t="str">
        <f t="shared" si="3"/>
        <v>NULL</v>
      </c>
      <c r="G33" t="str">
        <f>_xlfn.TEXTJOIN(" ",TRUE,IF(IFERROR(MATCH(SUBSTITUTE(A33,".md",""),'Bard Spells'!A:A,0),0)&gt;0,"#Bard",""),IF(IFERROR(MATCH(SUBSTITUTE(A33,".md",""),'Cleric Spells'!A:A,0),0)&gt;0,"#Cleric",""),IF(IFERROR(MATCH(SUBSTITUTE(A33,".md",""),'Druid Spells'!A:A,0),0)&gt;0,"#Druid",""),IF(IFERROR(MATCH(SUBSTITUTE(A33,".md",""),'Paladin Spells'!A:A,0),0)&gt;0,"#Paladin",""),IF(IFERROR(MATCH(SUBSTITUTE(A33,".md",""),'Ranger Spells'!A:A,0),0)&gt;0,"#Ranger",""),IF(IFERROR(MATCH(SUBSTITUTE(A33,".md",""),'Sorcerer Spells'!A:A,0),0)&gt;0,"#Sorcerer",""),IF(IFERROR(MATCH(SUBSTITUTE(A33,".md",""),'Warlock Spells'!A:A,0),0)&gt;0,"#Warlock",""),IF(IFERROR(MATCH(SUBSTITUTE(A33,".md",""),'Wizard Spells'!A:A,0),0)&gt;0,"#Wizard",""))</f>
        <v>#Sorcerer #Wizard</v>
      </c>
    </row>
    <row r="34" spans="1:7" ht="120" x14ac:dyDescent="0.25">
      <c r="A34" t="s">
        <v>33</v>
      </c>
      <c r="B34" s="1" t="str">
        <f t="shared" si="0"/>
        <v>level 6 - #evocation Casting Time: Action Range: 90 feet Components: V, S Duration: #Concentration, up to 10 minutes 
You create a wall of whirling blades made of magical energy. The wall appears within range and lasts for the duration. You make a straight wall up to 100 feet long, 20 feet high, and 5 feet thick, or a ringed wall up to 60 feet in diameter, 20 feet high, and 5 feet thick. The wall provides Three-Quarters Cover, and its space is Difficult Terrain. Any creature in the wall's space makes a Dexterity saving throw, taking 6d10 Force damage on a failed save or half as much damage on a successful one. A creature also makes that save if it enters the wall's space or ends it turn there. A creature makes that save only once per turn_x000D_
#Cleric</v>
      </c>
      <c r="C34" t="str">
        <f t="shared" si="1"/>
        <v>level 6</v>
      </c>
      <c r="D34" s="1" t="s">
        <v>661</v>
      </c>
      <c r="E34" t="str">
        <f t="shared" si="2"/>
        <v>level 6</v>
      </c>
      <c r="F34" t="str">
        <f t="shared" si="3"/>
        <v>NULL</v>
      </c>
      <c r="G34" t="str">
        <f>_xlfn.TEXTJOIN(" ",TRUE,IF(IFERROR(MATCH(SUBSTITUTE(A34,".md",""),'Bard Spells'!A:A,0),0)&gt;0,"#Bard",""),IF(IFERROR(MATCH(SUBSTITUTE(A34,".md",""),'Cleric Spells'!A:A,0),0)&gt;0,"#Cleric",""),IF(IFERROR(MATCH(SUBSTITUTE(A34,".md",""),'Druid Spells'!A:A,0),0)&gt;0,"#Druid",""),IF(IFERROR(MATCH(SUBSTITUTE(A34,".md",""),'Paladin Spells'!A:A,0),0)&gt;0,"#Paladin",""),IF(IFERROR(MATCH(SUBSTITUTE(A34,".md",""),'Ranger Spells'!A:A,0),0)&gt;0,"#Ranger",""),IF(IFERROR(MATCH(SUBSTITUTE(A34,".md",""),'Sorcerer Spells'!A:A,0),0)&gt;0,"#Sorcerer",""),IF(IFERROR(MATCH(SUBSTITUTE(A34,".md",""),'Warlock Spells'!A:A,0),0)&gt;0,"#Warlock",""),IF(IFERROR(MATCH(SUBSTITUTE(A34,".md",""),'Wizard Spells'!A:A,0),0)&gt;0,"#Wizard",""))</f>
        <v>#Cleric</v>
      </c>
    </row>
    <row r="35" spans="1:7" ht="90" x14ac:dyDescent="0.25">
      <c r="A35" t="s">
        <v>34</v>
      </c>
      <c r="B35" s="1" t="str">
        <f t="shared" si="0"/>
        <v>level 0 - #abjuration Casting Time: Action Range: Self Components: V, S Duration: #Concentration, up to 1 minute 
Whenever a creature makes an attack roll against you before the spell ends, the attacker subtracts 1d4 from the attack roll_x000D_
#Bard #Sorcerer #Warlock #Wizard</v>
      </c>
      <c r="C35" t="str">
        <f t="shared" si="1"/>
        <v>level 0</v>
      </c>
      <c r="D35" s="1" t="s">
        <v>662</v>
      </c>
      <c r="E35" t="str">
        <f t="shared" si="2"/>
        <v>level 0</v>
      </c>
      <c r="F35" t="str">
        <f t="shared" si="3"/>
        <v>NULL</v>
      </c>
      <c r="G35" t="str">
        <f>_xlfn.TEXTJOIN(" ",TRUE,IF(IFERROR(MATCH(SUBSTITUTE(A35,".md",""),'Bard Spells'!A:A,0),0)&gt;0,"#Bard",""),IF(IFERROR(MATCH(SUBSTITUTE(A35,".md",""),'Cleric Spells'!A:A,0),0)&gt;0,"#Cleric",""),IF(IFERROR(MATCH(SUBSTITUTE(A35,".md",""),'Druid Spells'!A:A,0),0)&gt;0,"#Druid",""),IF(IFERROR(MATCH(SUBSTITUTE(A35,".md",""),'Paladin Spells'!A:A,0),0)&gt;0,"#Paladin",""),IF(IFERROR(MATCH(SUBSTITUTE(A35,".md",""),'Ranger Spells'!A:A,0),0)&gt;0,"#Ranger",""),IF(IFERROR(MATCH(SUBSTITUTE(A35,".md",""),'Sorcerer Spells'!A:A,0),0)&gt;0,"#Sorcerer",""),IF(IFERROR(MATCH(SUBSTITUTE(A35,".md",""),'Warlock Spells'!A:A,0),0)&gt;0,"#Warlock",""),IF(IFERROR(MATCH(SUBSTITUTE(A35,".md",""),'Wizard Spells'!A:A,0),0)&gt;0,"#Wizard",""))</f>
        <v>#Bard #Sorcerer #Warlock #Wizard</v>
      </c>
    </row>
    <row r="36" spans="1:7" ht="120" x14ac:dyDescent="0.25">
      <c r="A36" t="s">
        <v>35</v>
      </c>
      <c r="B36" s="1" t="str">
        <f t="shared" si="0"/>
        <v>level 1 - #enchantment Casting Time: Action Range: 30 feet Components: V, S, M (a Holy Symbol, worth 5+ GP) Duration: #Concentration, up to 1 minute 
You bless up to three creatures within range. Whenever a target makes an attack roll or a saving throw before the spell ends, the target adds 1d4 to the attack roll or save. 
Using a Higher-Level Spell Slot. You can target one additional creature for each spell slot level above 1_x000D_
#Cleric #Paladin</v>
      </c>
      <c r="C36" t="str">
        <f t="shared" si="1"/>
        <v>level 1</v>
      </c>
      <c r="D36" s="1" t="s">
        <v>663</v>
      </c>
      <c r="E36" t="str">
        <f t="shared" si="2"/>
        <v>level 1</v>
      </c>
      <c r="F36" t="str">
        <f t="shared" si="3"/>
        <v>NULL</v>
      </c>
      <c r="G36" t="str">
        <f>_xlfn.TEXTJOIN(" ",TRUE,IF(IFERROR(MATCH(SUBSTITUTE(A36,".md",""),'Bard Spells'!A:A,0),0)&gt;0,"#Bard",""),IF(IFERROR(MATCH(SUBSTITUTE(A36,".md",""),'Cleric Spells'!A:A,0),0)&gt;0,"#Cleric",""),IF(IFERROR(MATCH(SUBSTITUTE(A36,".md",""),'Druid Spells'!A:A,0),0)&gt;0,"#Druid",""),IF(IFERROR(MATCH(SUBSTITUTE(A36,".md",""),'Paladin Spells'!A:A,0),0)&gt;0,"#Paladin",""),IF(IFERROR(MATCH(SUBSTITUTE(A36,".md",""),'Ranger Spells'!A:A,0),0)&gt;0,"#Ranger",""),IF(IFERROR(MATCH(SUBSTITUTE(A36,".md",""),'Sorcerer Spells'!A:A,0),0)&gt;0,"#Sorcerer",""),IF(IFERROR(MATCH(SUBSTITUTE(A36,".md",""),'Warlock Spells'!A:A,0),0)&gt;0,"#Warlock",""),IF(IFERROR(MATCH(SUBSTITUTE(A36,".md",""),'Wizard Spells'!A:A,0),0)&gt;0,"#Wizard",""))</f>
        <v>#Cleric #Paladin</v>
      </c>
    </row>
    <row r="37" spans="1:7" ht="135" x14ac:dyDescent="0.25">
      <c r="A37" t="s">
        <v>36</v>
      </c>
      <c r="B37" s="1" t="str">
        <f t="shared" si="0"/>
        <v>level 4 - #necromancy Casting Time: Action Range: 30 feet Components: V, S Duration: Instantaneous 
A creature that you can see within range makes a Constitution saving throw, taking 8d8 Necrotic damage on a failed save or half as much damage on a successful one. A Plant creature automatically fails the save. 
Alternatively, target a nonmagical plant that isn't a creature, such as a tree or shrub. It doesn't make a save; it simply withers and dies. 
Using a Higher-Level Spell Slot. The damage increases by 1d8 for each spell slot level above 4_x000D_
#Druid #Sorcerer #Warlock #Wizard</v>
      </c>
      <c r="C37" t="str">
        <f t="shared" si="1"/>
        <v>level 4</v>
      </c>
      <c r="D37" s="1" t="s">
        <v>616</v>
      </c>
      <c r="E37" t="str">
        <f t="shared" si="2"/>
        <v>level 4</v>
      </c>
      <c r="F37" t="str">
        <f t="shared" si="3"/>
        <v>NULL</v>
      </c>
      <c r="G37" t="str">
        <f>_xlfn.TEXTJOIN(" ",TRUE,IF(IFERROR(MATCH(SUBSTITUTE(A37,".md",""),'Bard Spells'!A:A,0),0)&gt;0,"#Bard",""),IF(IFERROR(MATCH(SUBSTITUTE(A37,".md",""),'Cleric Spells'!A:A,0),0)&gt;0,"#Cleric",""),IF(IFERROR(MATCH(SUBSTITUTE(A37,".md",""),'Druid Spells'!A:A,0),0)&gt;0,"#Druid",""),IF(IFERROR(MATCH(SUBSTITUTE(A37,".md",""),'Paladin Spells'!A:A,0),0)&gt;0,"#Paladin",""),IF(IFERROR(MATCH(SUBSTITUTE(A37,".md",""),'Ranger Spells'!A:A,0),0)&gt;0,"#Ranger",""),IF(IFERROR(MATCH(SUBSTITUTE(A37,".md",""),'Sorcerer Spells'!A:A,0),0)&gt;0,"#Sorcerer",""),IF(IFERROR(MATCH(SUBSTITUTE(A37,".md",""),'Warlock Spells'!A:A,0),0)&gt;0,"#Warlock",""),IF(IFERROR(MATCH(SUBSTITUTE(A37,".md",""),'Wizard Spells'!A:A,0),0)&gt;0,"#Wizard",""))</f>
        <v>#Druid #Sorcerer #Warlock #Wizard</v>
      </c>
    </row>
    <row r="38" spans="1:7" ht="135" x14ac:dyDescent="0.25">
      <c r="A38" t="s">
        <v>37</v>
      </c>
      <c r="B38" s="1" t="str">
        <f t="shared" si="0"/>
        <v>level 3 - #evocation Casting Time: #BonusAction, which you take immediately after hitting a creature with a Melee weapon or an Unarmed Strike Range: Self Components: V Duration: 1 minute 
The target hit by the strike takes an extra 3d8 Radiant damage from the attack, and the target has the Blinded condition until the spell ends. At the end of each of its turns, the Blinded target makes a Constitution saving throw, ending the spell on itself on a success. 
Using a Higher-Level Spell Slot. The extra damage increases by 1d8 for each spell slot level above 3_x000D_
#Paladin</v>
      </c>
      <c r="C38" t="str">
        <f t="shared" si="1"/>
        <v>level 3</v>
      </c>
      <c r="D38" s="1" t="s">
        <v>1156</v>
      </c>
      <c r="E38" t="str">
        <f t="shared" si="2"/>
        <v>level 3</v>
      </c>
      <c r="F38" t="str">
        <f t="shared" si="3"/>
        <v>NULL</v>
      </c>
      <c r="G38" t="str">
        <f>_xlfn.TEXTJOIN(" ",TRUE,IF(IFERROR(MATCH(SUBSTITUTE(A38,".md",""),'Bard Spells'!A:A,0),0)&gt;0,"#Bard",""),IF(IFERROR(MATCH(SUBSTITUTE(A38,".md",""),'Cleric Spells'!A:A,0),0)&gt;0,"#Cleric",""),IF(IFERROR(MATCH(SUBSTITUTE(A38,".md",""),'Druid Spells'!A:A,0),0)&gt;0,"#Druid",""),IF(IFERROR(MATCH(SUBSTITUTE(A38,".md",""),'Paladin Spells'!A:A,0),0)&gt;0,"#Paladin",""),IF(IFERROR(MATCH(SUBSTITUTE(A38,".md",""),'Ranger Spells'!A:A,0),0)&gt;0,"#Ranger",""),IF(IFERROR(MATCH(SUBSTITUTE(A38,".md",""),'Sorcerer Spells'!A:A,0),0)&gt;0,"#Sorcerer",""),IF(IFERROR(MATCH(SUBSTITUTE(A38,".md",""),'Warlock Spells'!A:A,0),0)&gt;0,"#Warlock",""),IF(IFERROR(MATCH(SUBSTITUTE(A38,".md",""),'Wizard Spells'!A:A,0),0)&gt;0,"#Wizard",""))</f>
        <v>#Paladin</v>
      </c>
    </row>
    <row r="39" spans="1:7" ht="135" x14ac:dyDescent="0.25">
      <c r="A39" t="s">
        <v>38</v>
      </c>
      <c r="B39" s="1" t="str">
        <f t="shared" si="0"/>
        <v xml:space="preserve">level 2 - #transmutation Casting Time: Action Range: 120 feet Components: V Duration: 1 minute 
One creature that you can see within range must succeed on a Constitution saving throw, or it has the Blinded or Deafened condition (your choice) for the duration. At the end of each of its turns, the target repeats the save, ending the spell on itself on a success. 
Using a Higher-Level Spell Slot. You can target one additional creature for each spell slot level above 2_x000D_
</v>
      </c>
      <c r="C39" t="str">
        <f t="shared" si="1"/>
        <v>level 2</v>
      </c>
      <c r="D39" s="1" t="s">
        <v>617</v>
      </c>
      <c r="E39" t="str">
        <f t="shared" si="2"/>
        <v>level 2</v>
      </c>
      <c r="F39" t="str">
        <f t="shared" si="3"/>
        <v>NULL</v>
      </c>
      <c r="G39" t="str">
        <f>_xlfn.TEXTJOIN(" ",TRUE,IF(IFERROR(MATCH(SUBSTITUTE(A39,".md",""),'Bard Spells'!A:A,0),0)&gt;0,"#Bard",""),IF(IFERROR(MATCH(SUBSTITUTE(A39,".md",""),'Cleric Spells'!A:A,0),0)&gt;0,"#Cleric",""),IF(IFERROR(MATCH(SUBSTITUTE(A39,".md",""),'Druid Spells'!A:A,0),0)&gt;0,"#Druid",""),IF(IFERROR(MATCH(SUBSTITUTE(A39,".md",""),'Paladin Spells'!A:A,0),0)&gt;0,"#Paladin",""),IF(IFERROR(MATCH(SUBSTITUTE(A39,".md",""),'Ranger Spells'!A:A,0),0)&gt;0,"#Ranger",""),IF(IFERROR(MATCH(SUBSTITUTE(A39,".md",""),'Sorcerer Spells'!A:A,0),0)&gt;0,"#Sorcerer",""),IF(IFERROR(MATCH(SUBSTITUTE(A39,".md",""),'Warlock Spells'!A:A,0),0)&gt;0,"#Warlock",""),IF(IFERROR(MATCH(SUBSTITUTE(A39,".md",""),'Wizard Spells'!A:A,0),0)&gt;0,"#Wizard",""))</f>
        <v/>
      </c>
    </row>
    <row r="40" spans="1:7" ht="150" x14ac:dyDescent="0.25">
      <c r="A40" t="s">
        <v>39</v>
      </c>
      <c r="B40" s="1" t="str">
        <f t="shared" si="0"/>
        <v>level 3 - #transmutation Casting Time: Action Range: Self Components: V, S Duration: 1 minute 
Roll 1d6 at the end of each of your turns for the duration. On a roll of 4â€“6, you vanish from your current plane of existence and appear in the Ethereal Plane (the spell ends instantly if you are already on that plane). While on the Ethereal Plane, you can perceive the plane you left, which is cast in shades of gray, but you can't see anything there more than 60 feet away. You can affect and be affected only by other creatures on the Ethereal Plane, and creatures on the other plane can't perceive you unless they have a special ability that lets them perceive things on the Ethereal Plane. You return to the other plane at the start of your next turn and when the spell ends if you are on the Ethereal Plane. You return to an unoccupied space of your choice that you can see within 10 feet of the space you left. If no unoccupied space is available within that range, you appear in the nearest unoccupied space_x000D_
#Sorcerer #Wizard</v>
      </c>
      <c r="C40" t="str">
        <f t="shared" si="1"/>
        <v>level 3</v>
      </c>
      <c r="D40" s="1" t="s">
        <v>618</v>
      </c>
      <c r="E40" t="str">
        <f t="shared" si="2"/>
        <v>level 3</v>
      </c>
      <c r="F40" t="str">
        <f t="shared" si="3"/>
        <v>NULL</v>
      </c>
      <c r="G40" t="str">
        <f>_xlfn.TEXTJOIN(" ",TRUE,IF(IFERROR(MATCH(SUBSTITUTE(A40,".md",""),'Bard Spells'!A:A,0),0)&gt;0,"#Bard",""),IF(IFERROR(MATCH(SUBSTITUTE(A40,".md",""),'Cleric Spells'!A:A,0),0)&gt;0,"#Cleric",""),IF(IFERROR(MATCH(SUBSTITUTE(A40,".md",""),'Druid Spells'!A:A,0),0)&gt;0,"#Druid",""),IF(IFERROR(MATCH(SUBSTITUTE(A40,".md",""),'Paladin Spells'!A:A,0),0)&gt;0,"#Paladin",""),IF(IFERROR(MATCH(SUBSTITUTE(A40,".md",""),'Ranger Spells'!A:A,0),0)&gt;0,"#Ranger",""),IF(IFERROR(MATCH(SUBSTITUTE(A40,".md",""),'Sorcerer Spells'!A:A,0),0)&gt;0,"#Sorcerer",""),IF(IFERROR(MATCH(SUBSTITUTE(A40,".md",""),'Warlock Spells'!A:A,0),0)&gt;0,"#Warlock",""),IF(IFERROR(MATCH(SUBSTITUTE(A40,".md",""),'Wizard Spells'!A:A,0),0)&gt;0,"#Wizard",""))</f>
        <v>#Sorcerer #Wizard</v>
      </c>
    </row>
    <row r="41" spans="1:7" ht="90" x14ac:dyDescent="0.25">
      <c r="A41" t="s">
        <v>40</v>
      </c>
      <c r="B41" s="1" t="str">
        <f t="shared" si="0"/>
        <v>level 2 - #illusion Casting Time: Action Range: Self Components: V Duration: #Concentration, up to 1 minute 
Your body becomes blurred. For the duration, any creature has Disadvantage on attack rolls against you. An attacker is immune to this effect if it perceives you with Blindsight or Truesight._x000D_
#Sorcerer #Wizard</v>
      </c>
      <c r="C41" t="str">
        <f t="shared" si="1"/>
        <v>level 2</v>
      </c>
      <c r="D41" s="1" t="s">
        <v>664</v>
      </c>
      <c r="E41" t="str">
        <f t="shared" si="2"/>
        <v>level 2</v>
      </c>
      <c r="F41" t="str">
        <f t="shared" si="3"/>
        <v>NULL</v>
      </c>
      <c r="G41" t="str">
        <f>_xlfn.TEXTJOIN(" ",TRUE,IF(IFERROR(MATCH(SUBSTITUTE(A41,".md",""),'Bard Spells'!A:A,0),0)&gt;0,"#Bard",""),IF(IFERROR(MATCH(SUBSTITUTE(A41,".md",""),'Cleric Spells'!A:A,0),0)&gt;0,"#Cleric",""),IF(IFERROR(MATCH(SUBSTITUTE(A41,".md",""),'Druid Spells'!A:A,0),0)&gt;0,"#Druid",""),IF(IFERROR(MATCH(SUBSTITUTE(A41,".md",""),'Paladin Spells'!A:A,0),0)&gt;0,"#Paladin",""),IF(IFERROR(MATCH(SUBSTITUTE(A41,".md",""),'Ranger Spells'!A:A,0),0)&gt;0,"#Ranger",""),IF(IFERROR(MATCH(SUBSTITUTE(A41,".md",""),'Sorcerer Spells'!A:A,0),0)&gt;0,"#Sorcerer",""),IF(IFERROR(MATCH(SUBSTITUTE(A41,".md",""),'Warlock Spells'!A:A,0),0)&gt;0,"#Warlock",""),IF(IFERROR(MATCH(SUBSTITUTE(A41,".md",""),'Wizard Spells'!A:A,0),0)&gt;0,"#Wizard",""))</f>
        <v>#Sorcerer #Wizard</v>
      </c>
    </row>
    <row r="42" spans="1:7" ht="135" x14ac:dyDescent="0.25">
      <c r="A42" t="s">
        <v>41</v>
      </c>
      <c r="B42" s="1" t="str">
        <f t="shared" si="0"/>
        <v>level 1 - #evocation Casting Time: Action Range: Self Components: V, S Duration: Instantaneous 
A thin sheet of flames shoots forth from you. Each creature in a 15- #foot Cone makes a Dexterity saving throw, taking 3d6 Fire damage on a failed save or half as much damage on a successful one. Flammable objects in the Cone that aren't being worn or carried start burning. 
Using a Higher-Level Spell Slot. The damage increases by 1d6 for each spell slot level above 1_x000D_
#Sorcerer #Wizard</v>
      </c>
      <c r="C42" t="str">
        <f t="shared" si="1"/>
        <v>level 1</v>
      </c>
      <c r="D42" s="1" t="s">
        <v>619</v>
      </c>
      <c r="E42" t="str">
        <f t="shared" si="2"/>
        <v>level 1</v>
      </c>
      <c r="F42" t="str">
        <f t="shared" si="3"/>
        <v>NULL</v>
      </c>
      <c r="G42" t="str">
        <f>_xlfn.TEXTJOIN(" ",TRUE,IF(IFERROR(MATCH(SUBSTITUTE(A42,".md",""),'Bard Spells'!A:A,0),0)&gt;0,"#Bard",""),IF(IFERROR(MATCH(SUBSTITUTE(A42,".md",""),'Cleric Spells'!A:A,0),0)&gt;0,"#Cleric",""),IF(IFERROR(MATCH(SUBSTITUTE(A42,".md",""),'Druid Spells'!A:A,0),0)&gt;0,"#Druid",""),IF(IFERROR(MATCH(SUBSTITUTE(A42,".md",""),'Paladin Spells'!A:A,0),0)&gt;0,"#Paladin",""),IF(IFERROR(MATCH(SUBSTITUTE(A42,".md",""),'Ranger Spells'!A:A,0),0)&gt;0,"#Ranger",""),IF(IFERROR(MATCH(SUBSTITUTE(A42,".md",""),'Sorcerer Spells'!A:A,0),0)&gt;0,"#Sorcerer",""),IF(IFERROR(MATCH(SUBSTITUTE(A42,".md",""),'Warlock Spells'!A:A,0),0)&gt;0,"#Warlock",""),IF(IFERROR(MATCH(SUBSTITUTE(A42,".md",""),'Wizard Spells'!A:A,0),0)&gt;0,"#Wizard",""))</f>
        <v>#Sorcerer #Wizard</v>
      </c>
    </row>
    <row r="43" spans="1:7" ht="180" x14ac:dyDescent="0.25">
      <c r="A43" t="s">
        <v>42</v>
      </c>
      <c r="B43" s="1" t="str">
        <f t="shared" si="0"/>
        <v>level 3 - #conjuration Casting Time: Action Range: 120 feet Components: V, S Duration: #Concentration, up to 10 minutes 
A storm cloud appears at a point within range that you can see above yourself. It takes the shape of a Cylinder that is 10 feet tall with a 60-foot radius. 
When you cast the spell, choose a point you can see under the cloud. A lightning bolt shoots from the cloud to that point. Each creature within 5 feet of that point makes a Dexterity saving throw, taking 3d10 Lightning damage on a failed save or half as much damage on a successful one. 
Until the spell ends, you can take a Magic action to call down lightning in that way again, targeting the same point or a different one. If you're outdoors in a storm when you cast this spell, the spell gives you control over that storm instead of creating a new one. Under such conditions, the spell's damage increases by 1d10. 
Using a Higher-Level Spell Slot. The damage increases by 1d10 for each spell slot level above 3_x000D_
#Druid</v>
      </c>
      <c r="C43" t="str">
        <f t="shared" si="1"/>
        <v>level 3</v>
      </c>
      <c r="D43" s="1" t="s">
        <v>665</v>
      </c>
      <c r="E43" t="str">
        <f t="shared" si="2"/>
        <v>level 3</v>
      </c>
      <c r="F43" t="str">
        <f t="shared" si="3"/>
        <v>NULL</v>
      </c>
      <c r="G43" t="str">
        <f>_xlfn.TEXTJOIN(" ",TRUE,IF(IFERROR(MATCH(SUBSTITUTE(A43,".md",""),'Bard Spells'!A:A,0),0)&gt;0,"#Bard",""),IF(IFERROR(MATCH(SUBSTITUTE(A43,".md",""),'Cleric Spells'!A:A,0),0)&gt;0,"#Cleric",""),IF(IFERROR(MATCH(SUBSTITUTE(A43,".md",""),'Druid Spells'!A:A,0),0)&gt;0,"#Druid",""),IF(IFERROR(MATCH(SUBSTITUTE(A43,".md",""),'Paladin Spells'!A:A,0),0)&gt;0,"#Paladin",""),IF(IFERROR(MATCH(SUBSTITUTE(A43,".md",""),'Ranger Spells'!A:A,0),0)&gt;0,"#Ranger",""),IF(IFERROR(MATCH(SUBSTITUTE(A43,".md",""),'Sorcerer Spells'!A:A,0),0)&gt;0,"#Sorcerer",""),IF(IFERROR(MATCH(SUBSTITUTE(A43,".md",""),'Warlock Spells'!A:A,0),0)&gt;0,"#Warlock",""),IF(IFERROR(MATCH(SUBSTITUTE(A43,".md",""),'Wizard Spells'!A:A,0),0)&gt;0,"#Wizard",""))</f>
        <v>#Druid</v>
      </c>
    </row>
    <row r="44" spans="1:7" ht="135" x14ac:dyDescent="0.25">
      <c r="A44" t="s">
        <v>43</v>
      </c>
      <c r="B44" s="1" t="str">
        <f t="shared" si="0"/>
        <v>level 2 - #enchantment Casting Time: Action Range: 60 feet Components: V, S Duration: #Concentration, up to 1 minute
Each Humanoid in a 20-foot-radius Sphere centered on a point you choose within range must succeed on a Charisma saving throw or be affected by one of the following effects (choose for each creature): 
â€¢ The creature has Immunity to the Charmed and Frightened conditions until the spell ends. If the creature was already Charmed or Frightened, those conditions are suppressed for the duration. 
â€¢ The creature becomes Indifferent about creatures of your choice that it's Hostile toward. This indifference ends if the target takes damage or witnesses its allies taking damage. When the spell ends, the creature's attitude returns to normal_x000D_
#Bard #Cleric</v>
      </c>
      <c r="C44" t="str">
        <f t="shared" si="1"/>
        <v>level 2</v>
      </c>
      <c r="D44" s="1" t="s">
        <v>666</v>
      </c>
      <c r="E44" t="str">
        <f t="shared" si="2"/>
        <v>level 2</v>
      </c>
      <c r="F44" t="str">
        <f t="shared" si="3"/>
        <v>NULL</v>
      </c>
      <c r="G44" t="str">
        <f>_xlfn.TEXTJOIN(" ",TRUE,IF(IFERROR(MATCH(SUBSTITUTE(A44,".md",""),'Bard Spells'!A:A,0),0)&gt;0,"#Bard",""),IF(IFERROR(MATCH(SUBSTITUTE(A44,".md",""),'Cleric Spells'!A:A,0),0)&gt;0,"#Cleric",""),IF(IFERROR(MATCH(SUBSTITUTE(A44,".md",""),'Druid Spells'!A:A,0),0)&gt;0,"#Druid",""),IF(IFERROR(MATCH(SUBSTITUTE(A44,".md",""),'Paladin Spells'!A:A,0),0)&gt;0,"#Paladin",""),IF(IFERROR(MATCH(SUBSTITUTE(A44,".md",""),'Ranger Spells'!A:A,0),0)&gt;0,"#Ranger",""),IF(IFERROR(MATCH(SUBSTITUTE(A44,".md",""),'Sorcerer Spells'!A:A,0),0)&gt;0,"#Sorcerer",""),IF(IFERROR(MATCH(SUBSTITUTE(A44,".md",""),'Warlock Spells'!A:A,0),0)&gt;0,"#Warlock",""),IF(IFERROR(MATCH(SUBSTITUTE(A44,".md",""),'Wizard Spells'!A:A,0),0)&gt;0,"#Wizard",""))</f>
        <v>#Bard #Cleric</v>
      </c>
    </row>
    <row r="45" spans="1:7" ht="150" x14ac:dyDescent="0.25">
      <c r="A45" t="s">
        <v>44</v>
      </c>
      <c r="B45" s="1" t="str">
        <f t="shared" si="0"/>
        <v>level 6 - #evocation Casting Time: Action Range: 150 feet Components: V, S, M (three silver pins) Duration: Instantaneous 
You launch a lightning bolt toward a target you can see within range. Three bolts then leap from that target to as many as three other targets of your choice, each of which must be within 30 feet of the first target. A target can be a creature or an object and can be targeted by only one of the bolts. Each target makes a Dexterity saving throw, taking 10d8 Lightning damage on a failed save or half as much damage on a successful one. 
Using a Higher-Level Spell Slot. One additional bolt leaps from the first target to another target for each spell slot level above 6._x000D_
#Sorcerer #Wizard</v>
      </c>
      <c r="C45" t="str">
        <f t="shared" si="1"/>
        <v>level 6</v>
      </c>
      <c r="D45" s="1" t="s">
        <v>620</v>
      </c>
      <c r="E45" t="str">
        <f t="shared" si="2"/>
        <v>level 6</v>
      </c>
      <c r="F45" t="str">
        <f t="shared" si="3"/>
        <v>NULL</v>
      </c>
      <c r="G45" t="str">
        <f>_xlfn.TEXTJOIN(" ",TRUE,IF(IFERROR(MATCH(SUBSTITUTE(A45,".md",""),'Bard Spells'!A:A,0),0)&gt;0,"#Bard",""),IF(IFERROR(MATCH(SUBSTITUTE(A45,".md",""),'Cleric Spells'!A:A,0),0)&gt;0,"#Cleric",""),IF(IFERROR(MATCH(SUBSTITUTE(A45,".md",""),'Druid Spells'!A:A,0),0)&gt;0,"#Druid",""),IF(IFERROR(MATCH(SUBSTITUTE(A45,".md",""),'Paladin Spells'!A:A,0),0)&gt;0,"#Paladin",""),IF(IFERROR(MATCH(SUBSTITUTE(A45,".md",""),'Ranger Spells'!A:A,0),0)&gt;0,"#Ranger",""),IF(IFERROR(MATCH(SUBSTITUTE(A45,".md",""),'Sorcerer Spells'!A:A,0),0)&gt;0,"#Sorcerer",""),IF(IFERROR(MATCH(SUBSTITUTE(A45,".md",""),'Warlock Spells'!A:A,0),0)&gt;0,"#Warlock",""),IF(IFERROR(MATCH(SUBSTITUTE(A45,".md",""),'Wizard Spells'!A:A,0),0)&gt;0,"#Wizard",""))</f>
        <v>#Sorcerer #Wizard</v>
      </c>
    </row>
    <row r="46" spans="1:7" ht="135" x14ac:dyDescent="0.25">
      <c r="A46" t="s">
        <v>45</v>
      </c>
      <c r="B46" s="1" t="str">
        <f t="shared" si="0"/>
        <v>level 4 - #enchantment Casting Time: Action Range: 30 feet Components: V, S Duration: 1 hour 
One creature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4._x000D_
#Bard #Druid #Sorcerer #Warlock #Wizard</v>
      </c>
      <c r="C46" t="str">
        <f t="shared" si="1"/>
        <v>level 4</v>
      </c>
      <c r="D46" s="1" t="s">
        <v>621</v>
      </c>
      <c r="E46" t="str">
        <f t="shared" si="2"/>
        <v>level 4</v>
      </c>
      <c r="F46" t="str">
        <f t="shared" si="3"/>
        <v>NULL</v>
      </c>
      <c r="G46" t="str">
        <f>_xlfn.TEXTJOIN(" ",TRUE,IF(IFERROR(MATCH(SUBSTITUTE(A46,".md",""),'Bard Spells'!A:A,0),0)&gt;0,"#Bard",""),IF(IFERROR(MATCH(SUBSTITUTE(A46,".md",""),'Cleric Spells'!A:A,0),0)&gt;0,"#Cleric",""),IF(IFERROR(MATCH(SUBSTITUTE(A46,".md",""),'Druid Spells'!A:A,0),0)&gt;0,"#Druid",""),IF(IFERROR(MATCH(SUBSTITUTE(A46,".md",""),'Paladin Spells'!A:A,0),0)&gt;0,"#Paladin",""),IF(IFERROR(MATCH(SUBSTITUTE(A46,".md",""),'Ranger Spells'!A:A,0),0)&gt;0,"#Ranger",""),IF(IFERROR(MATCH(SUBSTITUTE(A46,".md",""),'Sorcerer Spells'!A:A,0),0)&gt;0,"#Sorcerer",""),IF(IFERROR(MATCH(SUBSTITUTE(A46,".md",""),'Warlock Spells'!A:A,0),0)&gt;0,"#Warlock",""),IF(IFERROR(MATCH(SUBSTITUTE(A46,".md",""),'Wizard Spells'!A:A,0),0)&gt;0,"#Wizard",""))</f>
        <v>#Bard #Druid #Sorcerer #Warlock #Wizard</v>
      </c>
    </row>
    <row r="47" spans="1:7" ht="135" x14ac:dyDescent="0.25">
      <c r="A47" t="s">
        <v>46</v>
      </c>
      <c r="B47" s="1" t="str">
        <f t="shared" si="0"/>
        <v>level 1 - #enchantment Casting Time: Action Range: 30 feet Components: V, S Duration: 1 hour 
One Humanoid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1._x000D_
#Bard #Druid #Sorcerer #Warlock #Wizard</v>
      </c>
      <c r="C47" t="str">
        <f t="shared" si="1"/>
        <v>level 1</v>
      </c>
      <c r="D47" s="1" t="s">
        <v>622</v>
      </c>
      <c r="E47" t="str">
        <f t="shared" si="2"/>
        <v>level 1</v>
      </c>
      <c r="F47" t="str">
        <f t="shared" si="3"/>
        <v>NULL</v>
      </c>
      <c r="G47" t="str">
        <f>_xlfn.TEXTJOIN(" ",TRUE,IF(IFERROR(MATCH(SUBSTITUTE(A47,".md",""),'Bard Spells'!A:A,0),0)&gt;0,"#Bard",""),IF(IFERROR(MATCH(SUBSTITUTE(A47,".md",""),'Cleric Spells'!A:A,0),0)&gt;0,"#Cleric",""),IF(IFERROR(MATCH(SUBSTITUTE(A47,".md",""),'Druid Spells'!A:A,0),0)&gt;0,"#Druid",""),IF(IFERROR(MATCH(SUBSTITUTE(A47,".md",""),'Paladin Spells'!A:A,0),0)&gt;0,"#Paladin",""),IF(IFERROR(MATCH(SUBSTITUTE(A47,".md",""),'Ranger Spells'!A:A,0),0)&gt;0,"#Ranger",""),IF(IFERROR(MATCH(SUBSTITUTE(A47,".md",""),'Sorcerer Spells'!A:A,0),0)&gt;0,"#Sorcerer",""),IF(IFERROR(MATCH(SUBSTITUTE(A47,".md",""),'Warlock Spells'!A:A,0),0)&gt;0,"#Warlock",""),IF(IFERROR(MATCH(SUBSTITUTE(A47,".md",""),'Wizard Spells'!A:A,0),0)&gt;0,"#Wizard",""))</f>
        <v>#Bard #Druid #Sorcerer #Warlock #Wizard</v>
      </c>
    </row>
    <row r="48" spans="1:7" ht="120" x14ac:dyDescent="0.25">
      <c r="A48" t="s">
        <v>47</v>
      </c>
      <c r="B48" s="1" t="str">
        <f t="shared" si="0"/>
        <v>level 0 - #necromancy Casting Time: Action Range: Touch Components: V, S Duration: Instantaneous 
 Channeling the chill of the grave, make a melee spell attack against a target within reach. On a hit, the target takes 1d10 Necrotic damage, and it can't regain Hit Points until the end of your next turn. 
 Cantrip Upgrade. The damage increases by 1d10 when you reach levels 5 (2d10), 11 (3d10), and 17 (4d10).
#Sorcerer #Warlock #Wizard</v>
      </c>
      <c r="C48" t="str">
        <f t="shared" si="1"/>
        <v>level 0</v>
      </c>
      <c r="D48" s="1" t="s">
        <v>1224</v>
      </c>
      <c r="E48" t="str">
        <f t="shared" si="2"/>
        <v>level 0</v>
      </c>
      <c r="F48" t="str">
        <f t="shared" si="3"/>
        <v>NULL</v>
      </c>
      <c r="G48" t="str">
        <f>_xlfn.TEXTJOIN(" ",TRUE,IF(IFERROR(MATCH(SUBSTITUTE(A48,".md",""),'Bard Spells'!A:A,0),0)&gt;0,"#Bard",""),IF(IFERROR(MATCH(SUBSTITUTE(A48,".md",""),'Cleric Spells'!A:A,0),0)&gt;0,"#Cleric",""),IF(IFERROR(MATCH(SUBSTITUTE(A48,".md",""),'Druid Spells'!A:A,0),0)&gt;0,"#Druid",""),IF(IFERROR(MATCH(SUBSTITUTE(A48,".md",""),'Paladin Spells'!A:A,0),0)&gt;0,"#Paladin",""),IF(IFERROR(MATCH(SUBSTITUTE(A48,".md",""),'Ranger Spells'!A:A,0),0)&gt;0,"#Ranger",""),IF(IFERROR(MATCH(SUBSTITUTE(A48,".md",""),'Sorcerer Spells'!A:A,0),0)&gt;0,"#Sorcerer",""),IF(IFERROR(MATCH(SUBSTITUTE(A48,".md",""),'Warlock Spells'!A:A,0),0)&gt;0,"#Warlock",""),IF(IFERROR(MATCH(SUBSTITUTE(A48,".md",""),'Wizard Spells'!A:A,0),0)&gt;0,"#Wizard",""))</f>
        <v>#Sorcerer #Warlock #Wizard</v>
      </c>
    </row>
    <row r="49" spans="1:7" ht="165" x14ac:dyDescent="0.25">
      <c r="A49" t="s">
        <v>48</v>
      </c>
      <c r="B49" s="1" t="str">
        <f t="shared" si="0"/>
        <v>level 1 - #evocation Casting Time: Action Range: 90 feet Components: V, S, M (a diamond worth 50+ GP) Duration: Instantaneous 
You hurl an orb of energy at a target within range. Choose Acid, Cold, Fire, Lightning, Poison, or Thunder for the type of orb you create, and then make a ranged spell attack against the target. On a hit, the target takes 3d8 damage of the chosen type. If you roll the same number on two or more of the d8s, the orb leaps to a different target of your choice within 30 feet of the target. Make an attack roll against the new target, and make a new damage roll. The orb can't leap again unless you cast the spell with a level 2+ spell slot. 
Using a Higher-Level Spell Slot. The damage increases by 1d8 for each spell slot level above 1. The orb can leap a maximum number of times equal to the level of the slot expended, and a creature can be targeted only once by each casting of this spell._x000D_
#Sorcerer #Wizard</v>
      </c>
      <c r="C49" t="str">
        <f t="shared" si="1"/>
        <v>level 1</v>
      </c>
      <c r="D49" s="1" t="s">
        <v>623</v>
      </c>
      <c r="E49" t="str">
        <f t="shared" si="2"/>
        <v>level 1</v>
      </c>
      <c r="F49" t="str">
        <f t="shared" si="3"/>
        <v>NULL</v>
      </c>
      <c r="G49" t="str">
        <f>_xlfn.TEXTJOIN(" ",TRUE,IF(IFERROR(MATCH(SUBSTITUTE(A49,".md",""),'Bard Spells'!A:A,0),0)&gt;0,"#Bard",""),IF(IFERROR(MATCH(SUBSTITUTE(A49,".md",""),'Cleric Spells'!A:A,0),0)&gt;0,"#Cleric",""),IF(IFERROR(MATCH(SUBSTITUTE(A49,".md",""),'Druid Spells'!A:A,0),0)&gt;0,"#Druid",""),IF(IFERROR(MATCH(SUBSTITUTE(A49,".md",""),'Paladin Spells'!A:A,0),0)&gt;0,"#Paladin",""),IF(IFERROR(MATCH(SUBSTITUTE(A49,".md",""),'Ranger Spells'!A:A,0),0)&gt;0,"#Ranger",""),IF(IFERROR(MATCH(SUBSTITUTE(A49,".md",""),'Sorcerer Spells'!A:A,0),0)&gt;0,"#Sorcerer",""),IF(IFERROR(MATCH(SUBSTITUTE(A49,".md",""),'Warlock Spells'!A:A,0),0)&gt;0,"#Warlock",""),IF(IFERROR(MATCH(SUBSTITUTE(A49,".md",""),'Wizard Spells'!A:A,0),0)&gt;0,"#Wizard",""))</f>
        <v>#Sorcerer #Wizard</v>
      </c>
    </row>
    <row r="50" spans="1:7" ht="135" x14ac:dyDescent="0.25">
      <c r="A50" t="s">
        <v>49</v>
      </c>
      <c r="B50" s="1" t="str">
        <f t="shared" si="0"/>
        <v>level 6 - #necromancy Casting Time: Action Range: 150 feet Components: V, S, M (the powder of a crushed black pearl worth 500+ GP) Duration: Instantaneous 
Negative energy ripples out in a 60-foot-radius Sphere from a point you choose within range. Each creature in that area makes a Constitution saving throw, taking 8d8 Necrotic damage on a failed save or half as much damage on a successful one. 
Using a Higher-Level Spell Slot. The damage increases by 2d8 for each spell slot level above 6._x000D_
#Sorcerer #Warlock #Wizard</v>
      </c>
      <c r="C50" t="str">
        <f t="shared" si="1"/>
        <v>level 6</v>
      </c>
      <c r="D50" s="1" t="s">
        <v>624</v>
      </c>
      <c r="E50" t="str">
        <f t="shared" si="2"/>
        <v>level 6</v>
      </c>
      <c r="F50" t="str">
        <f t="shared" si="3"/>
        <v>NULL</v>
      </c>
      <c r="G50" t="str">
        <f>_xlfn.TEXTJOIN(" ",TRUE,IF(IFERROR(MATCH(SUBSTITUTE(A50,".md",""),'Bard Spells'!A:A,0),0)&gt;0,"#Bard",""),IF(IFERROR(MATCH(SUBSTITUTE(A50,".md",""),'Cleric Spells'!A:A,0),0)&gt;0,"#Cleric",""),IF(IFERROR(MATCH(SUBSTITUTE(A50,".md",""),'Druid Spells'!A:A,0),0)&gt;0,"#Druid",""),IF(IFERROR(MATCH(SUBSTITUTE(A50,".md",""),'Paladin Spells'!A:A,0),0)&gt;0,"#Paladin",""),IF(IFERROR(MATCH(SUBSTITUTE(A50,".md",""),'Ranger Spells'!A:A,0),0)&gt;0,"#Ranger",""),IF(IFERROR(MATCH(SUBSTITUTE(A50,".md",""),'Sorcerer Spells'!A:A,0),0)&gt;0,"#Sorcerer",""),IF(IFERROR(MATCH(SUBSTITUTE(A50,".md",""),'Warlock Spells'!A:A,0),0)&gt;0,"#Warlock",""),IF(IFERROR(MATCH(SUBSTITUTE(A50,".md",""),'Wizard Spells'!A:A,0),0)&gt;0,"#Wizard",""))</f>
        <v>#Sorcerer #Warlock #Wizard</v>
      </c>
    </row>
    <row r="51" spans="1:7" ht="90" x14ac:dyDescent="0.25">
      <c r="A51" t="s">
        <v>50</v>
      </c>
      <c r="B51" s="1" t="str">
        <f t="shared" si="0"/>
        <v>level 5 - #abjuration Casting Time: Action Range: Self Components: V Duration: #Concentration, up to 10 minutes Description 
not available (not OGL)_x000D_
#Cleric #Paladin #Wizard</v>
      </c>
      <c r="C51" t="str">
        <f t="shared" si="1"/>
        <v>level 5</v>
      </c>
      <c r="D51" s="1" t="s">
        <v>667</v>
      </c>
      <c r="E51" t="str">
        <f t="shared" si="2"/>
        <v>level 5</v>
      </c>
      <c r="F51" t="str">
        <f t="shared" si="3"/>
        <v>NULL</v>
      </c>
      <c r="G51" t="str">
        <f>_xlfn.TEXTJOIN(" ",TRUE,IF(IFERROR(MATCH(SUBSTITUTE(A51,".md",""),'Bard Spells'!A:A,0),0)&gt;0,"#Bard",""),IF(IFERROR(MATCH(SUBSTITUTE(A51,".md",""),'Cleric Spells'!A:A,0),0)&gt;0,"#Cleric",""),IF(IFERROR(MATCH(SUBSTITUTE(A51,".md",""),'Druid Spells'!A:A,0),0)&gt;0,"#Druid",""),IF(IFERROR(MATCH(SUBSTITUTE(A51,".md",""),'Paladin Spells'!A:A,0),0)&gt;0,"#Paladin",""),IF(IFERROR(MATCH(SUBSTITUTE(A51,".md",""),'Ranger Spells'!A:A,0),0)&gt;0,"#Ranger",""),IF(IFERROR(MATCH(SUBSTITUTE(A51,".md",""),'Sorcerer Spells'!A:A,0),0)&gt;0,"#Sorcerer",""),IF(IFERROR(MATCH(SUBSTITUTE(A51,".md",""),'Warlock Spells'!A:A,0),0)&gt;0,"#Warlock",""),IF(IFERROR(MATCH(SUBSTITUTE(A51,".md",""),'Wizard Spells'!A:A,0),0)&gt;0,"#Wizard",""))</f>
        <v>#Cleric #Paladin #Wizard</v>
      </c>
    </row>
    <row r="52" spans="1:7" ht="135" x14ac:dyDescent="0.25">
      <c r="A52" t="s">
        <v>51</v>
      </c>
      <c r="B52" s="1" t="str">
        <f t="shared" si="0"/>
        <v>level 3 - #divination Casting Time: 10 minutes Range: 1 mile Components: V, S, M (a focus worth 100+ GP, either a jeweled horn for hearing or a glass eye for seeing) Duration: #Concentration, up to 10 minutes 
You create an Invisible sensor within range in a location familiar to you (a place you have visited or seen before) or in an obvious location that is unfamiliar to you (such as behind a door, around a corner, or in a grove of trees). The intangible, invulnerable sensor remains in place for the duration. 
When you cast the spell, choose seeing or hearing. You can use the chosen sense through the sensor as if you were in its space. As a Bonus Action, you can switch between seeing and hearing. 
A creature that sees the sensor (such as a creature benefiting from See Invisibility or Truesight) sees a luminous orb about the size of your fist._x000D_
#Bard #Cleric #Sorcerer #Wizard</v>
      </c>
      <c r="C52" t="str">
        <f t="shared" si="1"/>
        <v>level 3</v>
      </c>
      <c r="D52" s="1" t="s">
        <v>668</v>
      </c>
      <c r="E52" t="str">
        <f t="shared" si="2"/>
        <v>level 3</v>
      </c>
      <c r="F52" t="str">
        <f t="shared" si="3"/>
        <v>NULL</v>
      </c>
      <c r="G52" t="str">
        <f>_xlfn.TEXTJOIN(" ",TRUE,IF(IFERROR(MATCH(SUBSTITUTE(A52,".md",""),'Bard Spells'!A:A,0),0)&gt;0,"#Bard",""),IF(IFERROR(MATCH(SUBSTITUTE(A52,".md",""),'Cleric Spells'!A:A,0),0)&gt;0,"#Cleric",""),IF(IFERROR(MATCH(SUBSTITUTE(A52,".md",""),'Druid Spells'!A:A,0),0)&gt;0,"#Druid",""),IF(IFERROR(MATCH(SUBSTITUTE(A52,".md",""),'Paladin Spells'!A:A,0),0)&gt;0,"#Paladin",""),IF(IFERROR(MATCH(SUBSTITUTE(A52,".md",""),'Ranger Spells'!A:A,0),0)&gt;0,"#Ranger",""),IF(IFERROR(MATCH(SUBSTITUTE(A52,".md",""),'Sorcerer Spells'!A:A,0),0)&gt;0,"#Sorcerer",""),IF(IFERROR(MATCH(SUBSTITUTE(A52,".md",""),'Warlock Spells'!A:A,0),0)&gt;0,"#Warlock",""),IF(IFERROR(MATCH(SUBSTITUTE(A52,".md",""),'Wizard Spells'!A:A,0),0)&gt;0,"#Wizard",""))</f>
        <v>#Bard #Cleric #Sorcerer #Wizard</v>
      </c>
    </row>
    <row r="53" spans="1:7" ht="135" x14ac:dyDescent="0.25">
      <c r="A53" t="s">
        <v>52</v>
      </c>
      <c r="B53" s="1" t="str">
        <f t="shared" si="0"/>
        <v>level 8 - #necromancy Casting Time: 1 hour Range: Touch Components: V, S, M (a diamond worth 1,000+ GP, which the spell consumes, and a vessel worth 2,000+ GP that is large enough to hold the creature being cloned) Duration: Instantaneous 
You touch a creature or at least 1 cubic inch of its flesh. An inert duplicate of that creature forms inside the vessel used in the spell's casting and finishes growing after 120 days; you choose whether the finished clone is the same age as the creature or younger. The clone remains inert and endures indefinitely while its vessel remains undisturbed. 
If the original creature dies after the clone finishes forming, the creature's soul transfers to the clone if the soul is free and willing to return. The clone is physically identical to the original and has the same personality, memories, and abilities, but none of the original's equipment. The creature's original remains, if any, become inert and can't be revived, since the creature's soul is elsewhere._x000D_
#Wizard</v>
      </c>
      <c r="C53" t="str">
        <f t="shared" si="1"/>
        <v>level 8</v>
      </c>
      <c r="D53" s="1" t="s">
        <v>625</v>
      </c>
      <c r="E53" t="str">
        <f t="shared" si="2"/>
        <v>level 8</v>
      </c>
      <c r="F53" t="str">
        <f t="shared" si="3"/>
        <v>NULL</v>
      </c>
      <c r="G53" t="str">
        <f>_xlfn.TEXTJOIN(" ",TRUE,IF(IFERROR(MATCH(SUBSTITUTE(A53,".md",""),'Bard Spells'!A:A,0),0)&gt;0,"#Bard",""),IF(IFERROR(MATCH(SUBSTITUTE(A53,".md",""),'Cleric Spells'!A:A,0),0)&gt;0,"#Cleric",""),IF(IFERROR(MATCH(SUBSTITUTE(A53,".md",""),'Druid Spells'!A:A,0),0)&gt;0,"#Druid",""),IF(IFERROR(MATCH(SUBSTITUTE(A53,".md",""),'Paladin Spells'!A:A,0),0)&gt;0,"#Paladin",""),IF(IFERROR(MATCH(SUBSTITUTE(A53,".md",""),'Ranger Spells'!A:A,0),0)&gt;0,"#Ranger",""),IF(IFERROR(MATCH(SUBSTITUTE(A53,".md",""),'Sorcerer Spells'!A:A,0),0)&gt;0,"#Sorcerer",""),IF(IFERROR(MATCH(SUBSTITUTE(A53,".md",""),'Warlock Spells'!A:A,0),0)&gt;0,"#Warlock",""),IF(IFERROR(MATCH(SUBSTITUTE(A53,".md",""),'Wizard Spells'!A:A,0),0)&gt;0,"#Wizard",""))</f>
        <v>#Wizard</v>
      </c>
    </row>
    <row r="54" spans="1:7" ht="135" x14ac:dyDescent="0.25">
      <c r="A54" t="s">
        <v>53</v>
      </c>
      <c r="B54" s="1" t="str">
        <f t="shared" si="0"/>
        <v>level 2 - #conjuration Casting Time: Action Range: 60 feet Components: V, S, M (a sliver of glass) Duration: #Concentration, up to 1 minute 
You conjure spinning daggers in a 5-foot Cube centered on a point within range. Each creature in that area takes 4d4 Slashing damage. A creature also takes this damage if it enters the Cube or ends its turn there or if the Cube moves into its space. A creature takes this damage only once per turn. On your later turns, you can take a Magic action to teleport the Cube up to 30 feet. 
Using a Higher-Level Spell Slot. The damage increases by 2d4 for each spell slot level above 2._x000D_
#Bard #Sorcerer #Warlock #Wizard</v>
      </c>
      <c r="C54" t="str">
        <f t="shared" si="1"/>
        <v>level 2</v>
      </c>
      <c r="D54" s="1" t="s">
        <v>669</v>
      </c>
      <c r="E54" t="str">
        <f t="shared" si="2"/>
        <v>level 2</v>
      </c>
      <c r="F54" t="str">
        <f t="shared" si="3"/>
        <v>NULL</v>
      </c>
      <c r="G54" t="str">
        <f>_xlfn.TEXTJOIN(" ",TRUE,IF(IFERROR(MATCH(SUBSTITUTE(A54,".md",""),'Bard Spells'!A:A,0),0)&gt;0,"#Bard",""),IF(IFERROR(MATCH(SUBSTITUTE(A54,".md",""),'Cleric Spells'!A:A,0),0)&gt;0,"#Cleric",""),IF(IFERROR(MATCH(SUBSTITUTE(A54,".md",""),'Druid Spells'!A:A,0),0)&gt;0,"#Druid",""),IF(IFERROR(MATCH(SUBSTITUTE(A54,".md",""),'Paladin Spells'!A:A,0),0)&gt;0,"#Paladin",""),IF(IFERROR(MATCH(SUBSTITUTE(A54,".md",""),'Ranger Spells'!A:A,0),0)&gt;0,"#Ranger",""),IF(IFERROR(MATCH(SUBSTITUTE(A54,".md",""),'Sorcerer Spells'!A:A,0),0)&gt;0,"#Sorcerer",""),IF(IFERROR(MATCH(SUBSTITUTE(A54,".md",""),'Warlock Spells'!A:A,0),0)&gt;0,"#Warlock",""),IF(IFERROR(MATCH(SUBSTITUTE(A54,".md",""),'Wizard Spells'!A:A,0),0)&gt;0,"#Wizard",""))</f>
        <v>#Bard #Sorcerer #Warlock #Wizard</v>
      </c>
    </row>
    <row r="55" spans="1:7" ht="180" x14ac:dyDescent="0.25">
      <c r="A55" t="s">
        <v>54</v>
      </c>
      <c r="B55" s="1" t="str">
        <f t="shared" si="0"/>
        <v>level 5 - #conjuration Casting Time: Action Range: 120 feet Components: V, S Duration: #Concentration, up to 10 minutes 
You create a 20-foot-radius Sphere of yellow-green fog centered on a point within range. The fog lasts for the duration or until strong wind (such as the one created by Gust of Wind) disperses it, ending the spell. Its area is Heavily Obscured. 
Each creature in the Sphere makes a Constitution saving throw, taking 5d8 Poison damage on a failed save or half as much damage on a successful one. A creature must also make this save when the Sphere moves into its space and when it enters the Sphere or ends its turn there. A creature makes this save only once per turn. 
The Sphere moves 10 feet away from you at the start of each of your turns. 
Using a Higher-Level Spell Slot. The damage increases by 1d8 for each spell slot level above 5_x000D_
#Sorcerer #Wizard</v>
      </c>
      <c r="C55" t="str">
        <f t="shared" si="1"/>
        <v>level 5</v>
      </c>
      <c r="D55" s="1" t="s">
        <v>670</v>
      </c>
      <c r="E55" t="str">
        <f t="shared" si="2"/>
        <v>level 5</v>
      </c>
      <c r="F55" t="str">
        <f t="shared" si="3"/>
        <v>NULL</v>
      </c>
      <c r="G55" t="str">
        <f>_xlfn.TEXTJOIN(" ",TRUE,IF(IFERROR(MATCH(SUBSTITUTE(A55,".md",""),'Bard Spells'!A:A,0),0)&gt;0,"#Bard",""),IF(IFERROR(MATCH(SUBSTITUTE(A55,".md",""),'Cleric Spells'!A:A,0),0)&gt;0,"#Cleric",""),IF(IFERROR(MATCH(SUBSTITUTE(A55,".md",""),'Druid Spells'!A:A,0),0)&gt;0,"#Druid",""),IF(IFERROR(MATCH(SUBSTITUTE(A55,".md",""),'Paladin Spells'!A:A,0),0)&gt;0,"#Paladin",""),IF(IFERROR(MATCH(SUBSTITUTE(A55,".md",""),'Ranger Spells'!A:A,0),0)&gt;0,"#Ranger",""),IF(IFERROR(MATCH(SUBSTITUTE(A55,".md",""),'Sorcerer Spells'!A:A,0),0)&gt;0,"#Sorcerer",""),IF(IFERROR(MATCH(SUBSTITUTE(A55,".md",""),'Warlock Spells'!A:A,0),0)&gt;0,"#Warlock",""),IF(IFERROR(MATCH(SUBSTITUTE(A55,".md",""),'Wizard Spells'!A:A,0),0)&gt;0,"#Wizard",""))</f>
        <v>#Sorcerer #Wizard</v>
      </c>
    </row>
    <row r="56" spans="1:7" ht="90" x14ac:dyDescent="0.25">
      <c r="A56" t="s">
        <v>55</v>
      </c>
      <c r="B56" s="1" t="str">
        <f t="shared" si="0"/>
        <v>level 1 - #illusion Casting Time: Action Range: Self Components: V, S, M (a pinch of colorful sand) Duration: Instantaneous 
You launch a dazzling array of flashing, colorful light. Each creature in a 15-foot Cone originating from you must succeed on a Constitution saving throw or have the Blinded condition until the end of your next turn.
#Bard #Sorcerer #Wizard</v>
      </c>
      <c r="C56" t="str">
        <f t="shared" si="1"/>
        <v>level 1</v>
      </c>
      <c r="D56" s="1" t="s">
        <v>1212</v>
      </c>
      <c r="E56" t="str">
        <f t="shared" si="2"/>
        <v>level 1</v>
      </c>
      <c r="F56" t="str">
        <f t="shared" si="3"/>
        <v>NULL</v>
      </c>
      <c r="G56" t="str">
        <f>_xlfn.TEXTJOIN(" ",TRUE,IF(IFERROR(MATCH(SUBSTITUTE(A56,".md",""),'Bard Spells'!A:A,0),0)&gt;0,"#Bard",""),IF(IFERROR(MATCH(SUBSTITUTE(A56,".md",""),'Cleric Spells'!A:A,0),0)&gt;0,"#Cleric",""),IF(IFERROR(MATCH(SUBSTITUTE(A56,".md",""),'Druid Spells'!A:A,0),0)&gt;0,"#Druid",""),IF(IFERROR(MATCH(SUBSTITUTE(A56,".md",""),'Paladin Spells'!A:A,0),0)&gt;0,"#Paladin",""),IF(IFERROR(MATCH(SUBSTITUTE(A56,".md",""),'Ranger Spells'!A:A,0),0)&gt;0,"#Ranger",""),IF(IFERROR(MATCH(SUBSTITUTE(A56,".md",""),'Sorcerer Spells'!A:A,0),0)&gt;0,"#Sorcerer",""),IF(IFERROR(MATCH(SUBSTITUTE(A56,".md",""),'Warlock Spells'!A:A,0),0)&gt;0,"#Warlock",""),IF(IFERROR(MATCH(SUBSTITUTE(A56,".md",""),'Wizard Spells'!A:A,0),0)&gt;0,"#Wizard",""))</f>
        <v>#Bard #Sorcerer #Wizard</v>
      </c>
    </row>
    <row r="57" spans="1:7" ht="195" x14ac:dyDescent="0.25">
      <c r="A57" t="s">
        <v>56</v>
      </c>
      <c r="B57" s="1" t="str">
        <f t="shared" si="0"/>
        <v>level 1 - #enchantment Casting Time: Action Range: 60 feet Components: V Duration: Instantaneous 
You speak a one-word command to a creature you can see within range. The target must succeed on a Wisdom saving throw or follow the command on its next turn. Choose the command from these options: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has the Prone condition and then ends its turn. 
**Halt.** On its turn, the target doesn't move and takes no action or Bonus Action. 
Using a Higher-Level Spell Slot. You can affect one additional creature for each spell slot level above 1.
#Bard #Cleric #Paladin</v>
      </c>
      <c r="C57" t="str">
        <f t="shared" si="1"/>
        <v>level 1</v>
      </c>
      <c r="D57" s="1" t="s">
        <v>1213</v>
      </c>
      <c r="E57" t="str">
        <f t="shared" si="2"/>
        <v>level 1</v>
      </c>
      <c r="F57" t="str">
        <f t="shared" si="3"/>
        <v>NULL</v>
      </c>
      <c r="G57" t="str">
        <f>_xlfn.TEXTJOIN(" ",TRUE,IF(IFERROR(MATCH(SUBSTITUTE(A57,".md",""),'Bard Spells'!A:A,0),0)&gt;0,"#Bard",""),IF(IFERROR(MATCH(SUBSTITUTE(A57,".md",""),'Cleric Spells'!A:A,0),0)&gt;0,"#Cleric",""),IF(IFERROR(MATCH(SUBSTITUTE(A57,".md",""),'Druid Spells'!A:A,0),0)&gt;0,"#Druid",""),IF(IFERROR(MATCH(SUBSTITUTE(A57,".md",""),'Paladin Spells'!A:A,0),0)&gt;0,"#Paladin",""),IF(IFERROR(MATCH(SUBSTITUTE(A57,".md",""),'Ranger Spells'!A:A,0),0)&gt;0,"#Ranger",""),IF(IFERROR(MATCH(SUBSTITUTE(A57,".md",""),'Sorcerer Spells'!A:A,0),0)&gt;0,"#Sorcerer",""),IF(IFERROR(MATCH(SUBSTITUTE(A57,".md",""),'Warlock Spells'!A:A,0),0)&gt;0,"#Warlock",""),IF(IFERROR(MATCH(SUBSTITUTE(A57,".md",""),'Wizard Spells'!A:A,0),0)&gt;0,"#Wizard",""))</f>
        <v>#Bard #Cleric #Paladin</v>
      </c>
    </row>
    <row r="58" spans="1:7" ht="225" x14ac:dyDescent="0.25">
      <c r="A58" t="s">
        <v>57</v>
      </c>
      <c r="B58" s="1" t="str">
        <f t="shared" si="0"/>
        <v>level 5 - #divination ( #ritual ) Casting Time: 1 minute or Ritual Range: Self Components: V, S Duration: Instantaneous 
You commune with nature spirits and gain knowledge of the surrounding area. In the outdoors, the spell gives you knowledge of the area within 3 miles of you. In caves and other natural underground settings, the radius is limited to 300 feet. The spell doesn't function where nature has been replaced by construction, such as in castles and settlements. 
Choose three of the following facts; you learn those facts as they pertain to the spell's area: 
â€¢ Locations of settlements 
â€¢ Locations of portals to other planes of existence 
â€¢ Location of one Challenge Rating 10+ creature (DM's choice) that is a Celestial, an Elemental, a Fey, a Fiend, or an Undead 
â€¢ The most prevalent kind of plant, mineral, or Beast (you choose which to learn) 
â€¢ Locations of bodies of water 
For example, you could determine the location of a powerful monster in the area, the locations of bodies of water, and the locations of any towns._x000D_
#Druid #Ranger</v>
      </c>
      <c r="C58" t="str">
        <f t="shared" si="1"/>
        <v>level 5</v>
      </c>
      <c r="D58" s="1" t="s">
        <v>644</v>
      </c>
      <c r="E58" t="str">
        <f t="shared" si="2"/>
        <v>level 5</v>
      </c>
      <c r="F58" t="str">
        <f t="shared" si="3"/>
        <v>NULL</v>
      </c>
      <c r="G58" t="str">
        <f>_xlfn.TEXTJOIN(" ",TRUE,IF(IFERROR(MATCH(SUBSTITUTE(A58,".md",""),'Bard Spells'!A:A,0),0)&gt;0,"#Bard",""),IF(IFERROR(MATCH(SUBSTITUTE(A58,".md",""),'Cleric Spells'!A:A,0),0)&gt;0,"#Cleric",""),IF(IFERROR(MATCH(SUBSTITUTE(A58,".md",""),'Druid Spells'!A:A,0),0)&gt;0,"#Druid",""),IF(IFERROR(MATCH(SUBSTITUTE(A58,".md",""),'Paladin Spells'!A:A,0),0)&gt;0,"#Paladin",""),IF(IFERROR(MATCH(SUBSTITUTE(A58,".md",""),'Ranger Spells'!A:A,0),0)&gt;0,"#Ranger",""),IF(IFERROR(MATCH(SUBSTITUTE(A58,".md",""),'Sorcerer Spells'!A:A,0),0)&gt;0,"#Sorcerer",""),IF(IFERROR(MATCH(SUBSTITUTE(A58,".md",""),'Warlock Spells'!A:A,0),0)&gt;0,"#Warlock",""),IF(IFERROR(MATCH(SUBSTITUTE(A58,".md",""),'Wizard Spells'!A:A,0),0)&gt;0,"#Wizard",""))</f>
        <v>#Druid #Ranger</v>
      </c>
    </row>
    <row r="59" spans="1:7" ht="135" x14ac:dyDescent="0.25">
      <c r="A59" t="s">
        <v>58</v>
      </c>
      <c r="B59" s="1" t="str">
        <f t="shared" si="0"/>
        <v>level 5 - #divination ( #ritual ) Casting Time: 1 minute or Ritual Range: Self Components: V, S, M (incense) Duration: 1 minute 
You contact a deity or a divine proxy and ask up to three questions that can be answered with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more than once before finishing a Long Rest, there is a cumulative 25 percent chance for each casting after the first that you get no answer._x000D_
#Cleric</v>
      </c>
      <c r="C59" t="str">
        <f t="shared" si="1"/>
        <v>level 5</v>
      </c>
      <c r="D59" s="1" t="s">
        <v>645</v>
      </c>
      <c r="E59" t="str">
        <f t="shared" si="2"/>
        <v>level 5</v>
      </c>
      <c r="F59" t="str">
        <f t="shared" si="3"/>
        <v>NULL</v>
      </c>
      <c r="G59" t="str">
        <f>_xlfn.TEXTJOIN(" ",TRUE,IF(IFERROR(MATCH(SUBSTITUTE(A59,".md",""),'Bard Spells'!A:A,0),0)&gt;0,"#Bard",""),IF(IFERROR(MATCH(SUBSTITUTE(A59,".md",""),'Cleric Spells'!A:A,0),0)&gt;0,"#Cleric",""),IF(IFERROR(MATCH(SUBSTITUTE(A59,".md",""),'Druid Spells'!A:A,0),0)&gt;0,"#Druid",""),IF(IFERROR(MATCH(SUBSTITUTE(A59,".md",""),'Paladin Spells'!A:A,0),0)&gt;0,"#Paladin",""),IF(IFERROR(MATCH(SUBSTITUTE(A59,".md",""),'Ranger Spells'!A:A,0),0)&gt;0,"#Ranger",""),IF(IFERROR(MATCH(SUBSTITUTE(A59,".md",""),'Sorcerer Spells'!A:A,0),0)&gt;0,"#Sorcerer",""),IF(IFERROR(MATCH(SUBSTITUTE(A59,".md",""),'Warlock Spells'!A:A,0),0)&gt;0,"#Warlock",""),IF(IFERROR(MATCH(SUBSTITUTE(A59,".md",""),'Wizard Spells'!A:A,0),0)&gt;0,"#Wizard",""))</f>
        <v>#Cleric</v>
      </c>
    </row>
    <row r="60" spans="1:7" ht="135" x14ac:dyDescent="0.25">
      <c r="A60" t="s">
        <v>59</v>
      </c>
      <c r="B60" s="1" t="str">
        <f t="shared" si="0"/>
        <v>level 1 - #enchantment Casting Time: #BonusAction Range: 30 feet Components: V Duration: #Concentration, up to 1 minute 
You try to compel a creature into a duel. One creature that you can see within range makes a Wisdom saving throw. On a failed save, the target has Disadvantage on attack rolls against creatures other than you, and it can't willingly move to a space that is more than 30 feet away from you. 
The spell ends if you make an attack roll against a creature other than the target, if you cast a spell on an enemy other than the target, if an ally of yours damages the target, or if you end your turn more than 30 feet away from the target._x000D_
#Paladin</v>
      </c>
      <c r="C60" t="str">
        <f t="shared" si="1"/>
        <v>level 1</v>
      </c>
      <c r="D60" s="1" t="s">
        <v>1157</v>
      </c>
      <c r="E60" t="str">
        <f t="shared" si="2"/>
        <v>level 1</v>
      </c>
      <c r="F60" t="str">
        <f t="shared" si="3"/>
        <v>NULL</v>
      </c>
      <c r="G60" t="str">
        <f>_xlfn.TEXTJOIN(" ",TRUE,IF(IFERROR(MATCH(SUBSTITUTE(A60,".md",""),'Bard Spells'!A:A,0),0)&gt;0,"#Bard",""),IF(IFERROR(MATCH(SUBSTITUTE(A60,".md",""),'Cleric Spells'!A:A,0),0)&gt;0,"#Cleric",""),IF(IFERROR(MATCH(SUBSTITUTE(A60,".md",""),'Druid Spells'!A:A,0),0)&gt;0,"#Druid",""),IF(IFERROR(MATCH(SUBSTITUTE(A60,".md",""),'Paladin Spells'!A:A,0),0)&gt;0,"#Paladin",""),IF(IFERROR(MATCH(SUBSTITUTE(A60,".md",""),'Ranger Spells'!A:A,0),0)&gt;0,"#Ranger",""),IF(IFERROR(MATCH(SUBSTITUTE(A60,".md",""),'Sorcerer Spells'!A:A,0),0)&gt;0,"#Sorcerer",""),IF(IFERROR(MATCH(SUBSTITUTE(A60,".md",""),'Warlock Spells'!A:A,0),0)&gt;0,"#Warlock",""),IF(IFERROR(MATCH(SUBSTITUTE(A60,".md",""),'Wizard Spells'!A:A,0),0)&gt;0,"#Wizard",""))</f>
        <v>#Paladin</v>
      </c>
    </row>
    <row r="61" spans="1:7" ht="105" x14ac:dyDescent="0.25">
      <c r="A61" t="s">
        <v>60</v>
      </c>
      <c r="B61" s="1" t="str">
        <f t="shared" si="0"/>
        <v>level 1 - #divination ( #ritual ) Casting Time: Action or Ritual Range: Self Components: V, S, M (a pinch of soot and salt) Duration: 1 hour 
For the duration, you understand the literal meaning of any language that you hear or see signed. You also understand any written language that you see, but you must be touching the surface on which the words are written. It takes about 1 minute to read one page of text. This spell doesn't decode symbols or secret messages._x000D_
#Bard #Sorcerer #Warlock #Wizard</v>
      </c>
      <c r="C61" t="str">
        <f t="shared" si="1"/>
        <v>level 1</v>
      </c>
      <c r="D61" s="1" t="s">
        <v>646</v>
      </c>
      <c r="E61" t="str">
        <f t="shared" si="2"/>
        <v>level 1</v>
      </c>
      <c r="F61" t="str">
        <f t="shared" si="3"/>
        <v>NULL</v>
      </c>
      <c r="G61" t="str">
        <f>_xlfn.TEXTJOIN(" ",TRUE,IF(IFERROR(MATCH(SUBSTITUTE(A61,".md",""),'Bard Spells'!A:A,0),0)&gt;0,"#Bard",""),IF(IFERROR(MATCH(SUBSTITUTE(A61,".md",""),'Cleric Spells'!A:A,0),0)&gt;0,"#Cleric",""),IF(IFERROR(MATCH(SUBSTITUTE(A61,".md",""),'Druid Spells'!A:A,0),0)&gt;0,"#Druid",""),IF(IFERROR(MATCH(SUBSTITUTE(A61,".md",""),'Paladin Spells'!A:A,0),0)&gt;0,"#Paladin",""),IF(IFERROR(MATCH(SUBSTITUTE(A61,".md",""),'Ranger Spells'!A:A,0),0)&gt;0,"#Ranger",""),IF(IFERROR(MATCH(SUBSTITUTE(A61,".md",""),'Sorcerer Spells'!A:A,0),0)&gt;0,"#Sorcerer",""),IF(IFERROR(MATCH(SUBSTITUTE(A61,".md",""),'Warlock Spells'!A:A,0),0)&gt;0,"#Warlock",""),IF(IFERROR(MATCH(SUBSTITUTE(A61,".md",""),'Wizard Spells'!A:A,0),0)&gt;0,"#Wizard",""))</f>
        <v>#Bard #Sorcerer #Warlock #Wizard</v>
      </c>
    </row>
    <row r="62" spans="1:7" ht="120" x14ac:dyDescent="0.25">
      <c r="A62" t="s">
        <v>61</v>
      </c>
      <c r="B62" s="1" t="str">
        <f t="shared" si="0"/>
        <v>level 4 - #enchantment Casting Time: Action Range: 30 feet Components: V, S Duration: #Concentration, up to 1 minute 
Each creature of your choice that you can see within range must succeed on a Wisdom saving throw or have the Charmed condition until the spell ends. 
For the duration, you can take a Bonus Action to designate a direction that is horizontal to you. Each Charmed target must use as much of its movement as possible to move in that direction on its next turn, taking the safest route. After moving in this way, a target repeats the save, ending the spell on itself on a success._x000D_
#Bard</v>
      </c>
      <c r="C62" t="str">
        <f t="shared" si="1"/>
        <v>level 4</v>
      </c>
      <c r="D62" s="1" t="s">
        <v>671</v>
      </c>
      <c r="E62" t="str">
        <f t="shared" si="2"/>
        <v>level 4</v>
      </c>
      <c r="F62" t="str">
        <f t="shared" si="3"/>
        <v>NULL</v>
      </c>
      <c r="G62" t="str">
        <f>_xlfn.TEXTJOIN(" ",TRUE,IF(IFERROR(MATCH(SUBSTITUTE(A62,".md",""),'Bard Spells'!A:A,0),0)&gt;0,"#Bard",""),IF(IFERROR(MATCH(SUBSTITUTE(A62,".md",""),'Cleric Spells'!A:A,0),0)&gt;0,"#Cleric",""),IF(IFERROR(MATCH(SUBSTITUTE(A62,".md",""),'Druid Spells'!A:A,0),0)&gt;0,"#Druid",""),IF(IFERROR(MATCH(SUBSTITUTE(A62,".md",""),'Paladin Spells'!A:A,0),0)&gt;0,"#Paladin",""),IF(IFERROR(MATCH(SUBSTITUTE(A62,".md",""),'Ranger Spells'!A:A,0),0)&gt;0,"#Ranger",""),IF(IFERROR(MATCH(SUBSTITUTE(A62,".md",""),'Sorcerer Spells'!A:A,0),0)&gt;0,"#Sorcerer",""),IF(IFERROR(MATCH(SUBSTITUTE(A62,".md",""),'Warlock Spells'!A:A,0),0)&gt;0,"#Warlock",""),IF(IFERROR(MATCH(SUBSTITUTE(A62,".md",""),'Wizard Spells'!A:A,0),0)&gt;0,"#Wizard",""))</f>
        <v>#Bard</v>
      </c>
    </row>
    <row r="63" spans="1:7" ht="135" x14ac:dyDescent="0.25">
      <c r="A63" t="s">
        <v>62</v>
      </c>
      <c r="B63" s="1" t="str">
        <f t="shared" si="0"/>
        <v>level 5 - #evocation Casting Time: Action Range: Self Components: V, S, M (a small crystal or glass cone) Duration: Instantaneous 
You unleash a blast of cold air. Each creature in a 60-foot Cone originating from you makes a Constitution saving throw, taking 8d8 Cold damage on a failed save or half as much damage on a successful one. A creature killed by this spell becomes a frozen statue until it thaws. 
Using a Higher-Level Spell Slot. The damage increases by 1d8 for each spell slot level above 5_x000D_
#Druid #Sorcerer #Wizard</v>
      </c>
      <c r="C63" t="str">
        <f t="shared" si="1"/>
        <v>level 5</v>
      </c>
      <c r="D63" s="1" t="s">
        <v>626</v>
      </c>
      <c r="E63" t="str">
        <f t="shared" si="2"/>
        <v>level 5</v>
      </c>
      <c r="F63" t="str">
        <f t="shared" si="3"/>
        <v>NULL</v>
      </c>
      <c r="G63" t="str">
        <f>_xlfn.TEXTJOIN(" ",TRUE,IF(IFERROR(MATCH(SUBSTITUTE(A63,".md",""),'Bard Spells'!A:A,0),0)&gt;0,"#Bard",""),IF(IFERROR(MATCH(SUBSTITUTE(A63,".md",""),'Cleric Spells'!A:A,0),0)&gt;0,"#Cleric",""),IF(IFERROR(MATCH(SUBSTITUTE(A63,".md",""),'Druid Spells'!A:A,0),0)&gt;0,"#Druid",""),IF(IFERROR(MATCH(SUBSTITUTE(A63,".md",""),'Paladin Spells'!A:A,0),0)&gt;0,"#Paladin",""),IF(IFERROR(MATCH(SUBSTITUTE(A63,".md",""),'Ranger Spells'!A:A,0),0)&gt;0,"#Ranger",""),IF(IFERROR(MATCH(SUBSTITUTE(A63,".md",""),'Sorcerer Spells'!A:A,0),0)&gt;0,"#Sorcerer",""),IF(IFERROR(MATCH(SUBSTITUTE(A63,".md",""),'Warlock Spells'!A:A,0),0)&gt;0,"#Warlock",""),IF(IFERROR(MATCH(SUBSTITUTE(A63,".md",""),'Wizard Spells'!A:A,0),0)&gt;0,"#Wizard",""))</f>
        <v>#Druid #Sorcerer #Wizard</v>
      </c>
    </row>
    <row r="64" spans="1:7" ht="255" x14ac:dyDescent="0.25">
      <c r="A64" t="s">
        <v>63</v>
      </c>
      <c r="B64" s="1" t="str">
        <f t="shared" si="0"/>
        <v>level 4 - #enchantment Casting Time: Action Range: 90 feet Components: V, S, M (three nut shells) Duration: #Concentration, up to 1 minute 
Each creature in a 10-foot-radius Sphere centered on a point you choose within range must succeed on a Wisdom saving throw, or that target can't take Bonus Actions or Reactions and must roll 1d10 at the start of each of its turns to determine its behavior for that turn, consulting the table below. 
| **1d10** | **Behavior for the Turn**                                                                                                                                                      |
| -------- | ------------------------------------------------------------------------------------------------------------------------------------------------------------------------------ |
| 1        | The target doesn't take an action, and it uses all its movement to move. Roll 1d4 for the direction: 1, north; 2, east; 3, south; or 4, west.                                  |
| 2-6      | The target doesn't move or take actions.                                                                                                                                       |
| 7-8      | The target doesn't move, and it takes the Attack action to make one melee attack against a random creature within reach. If none are within reach, the target takes no action. |
| 9-10     | The target chooses its behavior.                                                                                                                                               |
At the end of each of its turns, an affected target repeats the save, ending the spell on itself on a success. 
Using a Higher-Level Spell Slot. The Sphere's radius increases by 5 feet for each spell slot level above 4.
#Bard #Druid #Sorcerer #Wizard</v>
      </c>
      <c r="C64" t="str">
        <f t="shared" si="1"/>
        <v>level 4</v>
      </c>
      <c r="D64" s="1" t="s">
        <v>672</v>
      </c>
      <c r="E64" t="str">
        <f t="shared" si="2"/>
        <v>level 4</v>
      </c>
      <c r="F64" t="str">
        <f t="shared" si="3"/>
        <v>NULL</v>
      </c>
      <c r="G64" t="str">
        <f>_xlfn.TEXTJOIN(" ",TRUE,IF(IFERROR(MATCH(SUBSTITUTE(A64,".md",""),'Bard Spells'!A:A,0),0)&gt;0,"#Bard",""),IF(IFERROR(MATCH(SUBSTITUTE(A64,".md",""),'Cleric Spells'!A:A,0),0)&gt;0,"#Cleric",""),IF(IFERROR(MATCH(SUBSTITUTE(A64,".md",""),'Druid Spells'!A:A,0),0)&gt;0,"#Druid",""),IF(IFERROR(MATCH(SUBSTITUTE(A64,".md",""),'Paladin Spells'!A:A,0),0)&gt;0,"#Paladin",""),IF(IFERROR(MATCH(SUBSTITUTE(A64,".md",""),'Ranger Spells'!A:A,0),0)&gt;0,"#Ranger",""),IF(IFERROR(MATCH(SUBSTITUTE(A64,".md",""),'Sorcerer Spells'!A:A,0),0)&gt;0,"#Sorcerer",""),IF(IFERROR(MATCH(SUBSTITUTE(A64,".md",""),'Warlock Spells'!A:A,0),0)&gt;0,"#Warlock",""),IF(IFERROR(MATCH(SUBSTITUTE(A64,".md",""),'Wizard Spells'!A:A,0),0)&gt;0,"#Wizard",""))</f>
        <v>#Bard #Druid #Sorcerer #Wizard</v>
      </c>
    </row>
    <row r="65" spans="1:7" ht="180" x14ac:dyDescent="0.25">
      <c r="A65" t="s">
        <v>64</v>
      </c>
      <c r="B65" s="1" t="str">
        <f t="shared" si="0"/>
        <v>level 3 - #conjuration Casting Time: Action Range: 60 feet Components: V, S Duration: #Concentration, up to 10 minutes 
You conjure nature spirits that appear as a Large pack of spectral, intangible animals in an unoccupied space you can see within range. The pack lasts for the duration, and you choose the spirits' animal form, such as wolves, serpents, or birds. 
You have Advantage on Strength saving throws while you're within 5 feet of the pack, and when you move on your turn, you can also move the pack up to 30 feet to an unoccupied space you can see. Whenever the pack moves within 10 feet of a creature you can see and whenever a creature you can see enters a space within 10 feet of the pack or ends its turn there, you can force that creature to make a Dexterity saving throw. On a failed save, the creature takes 3d10 Slashing damage. A creature makes this save only once per turn. 
Using a Higher-Level Spell Slot. The damage increases by 1d10 for each spell slot level above 3._x000D_
#Druid #Ranger</v>
      </c>
      <c r="C65" t="str">
        <f t="shared" si="1"/>
        <v>level 3</v>
      </c>
      <c r="D65" s="1" t="s">
        <v>673</v>
      </c>
      <c r="E65" t="str">
        <f t="shared" si="2"/>
        <v>level 3</v>
      </c>
      <c r="F65" t="str">
        <f t="shared" si="3"/>
        <v>NULL</v>
      </c>
      <c r="G65" t="str">
        <f>_xlfn.TEXTJOIN(" ",TRUE,IF(IFERROR(MATCH(SUBSTITUTE(A65,".md",""),'Bard Spells'!A:A,0),0)&gt;0,"#Bard",""),IF(IFERROR(MATCH(SUBSTITUTE(A65,".md",""),'Cleric Spells'!A:A,0),0)&gt;0,"#Cleric",""),IF(IFERROR(MATCH(SUBSTITUTE(A65,".md",""),'Druid Spells'!A:A,0),0)&gt;0,"#Druid",""),IF(IFERROR(MATCH(SUBSTITUTE(A65,".md",""),'Paladin Spells'!A:A,0),0)&gt;0,"#Paladin",""),IF(IFERROR(MATCH(SUBSTITUTE(A65,".md",""),'Ranger Spells'!A:A,0),0)&gt;0,"#Ranger",""),IF(IFERROR(MATCH(SUBSTITUTE(A65,".md",""),'Sorcerer Spells'!A:A,0),0)&gt;0,"#Sorcerer",""),IF(IFERROR(MATCH(SUBSTITUTE(A65,".md",""),'Warlock Spells'!A:A,0),0)&gt;0,"#Warlock",""),IF(IFERROR(MATCH(SUBSTITUTE(A65,".md",""),'Wizard Spells'!A:A,0),0)&gt;0,"#Wizard",""))</f>
        <v>#Druid #Ranger</v>
      </c>
    </row>
    <row r="66" spans="1:7" ht="135" x14ac:dyDescent="0.25">
      <c r="A66" t="s">
        <v>65</v>
      </c>
      <c r="B66" s="1" t="str">
        <f t="shared" ref="B66:B129" si="4">D66&amp;CHAR(10)&amp;CHAR(10)&amp;G66</f>
        <v>level 3 - #conjuration Casting Time: Action Range: Self Components: V, S, M (a Melee or Ranged weapon worth at least 1 CP) Duration: Instantaneous 
You brandish the weapon used to cast the spell and conjure similar spectral weapons (or ammunition appropriate to the weapon) that launch forward and then disappear. Each creature of your choice that you can see in a 60-foot Cone makes a Dexterity saving throw, taking 5d8 Force damage on a failed save or half as much damage on a successful one. 
Using a Higher-Level Spell Slot. The damage increases by 1d8 for each spell slot level above 3._x000D_
#Ranger</v>
      </c>
      <c r="C66" t="str">
        <f t="shared" ref="C66:C129" si="5">E66</f>
        <v>level 3</v>
      </c>
      <c r="D66" s="1" t="s">
        <v>627</v>
      </c>
      <c r="E66" t="str">
        <f t="shared" ref="E66:E129" si="6">LEFT(D66,7)</f>
        <v>level 3</v>
      </c>
      <c r="F66" t="str">
        <f t="shared" ref="F66:F129" si="7">IF(AND(ISNUMBER(SEARCH("- ", D66)), NOT(ISNUMBER(SEARCH("- #", D66)))), "Match", "NULL")</f>
        <v>NULL</v>
      </c>
      <c r="G66" t="str">
        <f>_xlfn.TEXTJOIN(" ",TRUE,IF(IFERROR(MATCH(SUBSTITUTE(A66,".md",""),'Bard Spells'!A:A,0),0)&gt;0,"#Bard",""),IF(IFERROR(MATCH(SUBSTITUTE(A66,".md",""),'Cleric Spells'!A:A,0),0)&gt;0,"#Cleric",""),IF(IFERROR(MATCH(SUBSTITUTE(A66,".md",""),'Druid Spells'!A:A,0),0)&gt;0,"#Druid",""),IF(IFERROR(MATCH(SUBSTITUTE(A66,".md",""),'Paladin Spells'!A:A,0),0)&gt;0,"#Paladin",""),IF(IFERROR(MATCH(SUBSTITUTE(A66,".md",""),'Ranger Spells'!A:A,0),0)&gt;0,"#Ranger",""),IF(IFERROR(MATCH(SUBSTITUTE(A66,".md",""),'Sorcerer Spells'!A:A,0),0)&gt;0,"#Sorcerer",""),IF(IFERROR(MATCH(SUBSTITUTE(A66,".md",""),'Warlock Spells'!A:A,0),0)&gt;0,"#Warlock",""),IF(IFERROR(MATCH(SUBSTITUTE(A66,".md",""),'Wizard Spells'!A:A,0),0)&gt;0,"#Wizard",""))</f>
        <v>#Ranger</v>
      </c>
    </row>
    <row r="67" spans="1:7" ht="195" x14ac:dyDescent="0.25">
      <c r="A67" t="s">
        <v>66</v>
      </c>
      <c r="B67" s="1" t="str">
        <f t="shared" si="4"/>
        <v>level 7 - #conjuration Casting Time: Action Range: 90 feet Components: V, S Duration: #Concentration, up to 10 minutes 
You conjure a spirit from the Upper Planes, which manifests as a pillar of light in a 10-foot-radius, 40-foot-high Cylinder centered on a point within range. For each creature you can see in the Cylinder, choose which of these lights shines on it: 
**Healing Light.** The target regains Hit Points equal to 4d12 plus your spellcasting ability modifier. Searing Light. The target makes a Dexterity saving throw, taking 6d12 Radiant damage on a failed save or half as much damage on a successful one. 
Until the spell ends, Bright Light fills the Cylinder, and when you move on your turn, you can also move the Cylinder up to 30 feet. Whenever the Cylinder moves into the space of a creature you can see and whenever a creature you can see enters the Cylinder or ends its turn there, you can bathe it in one of the lights. A creature can be affected by this spell only once per turn. 
Using a Higher-Level Spell Slot. The healing and damage increase by 1d12 for each spell slot level above 7._x000D_
#Cleric</v>
      </c>
      <c r="C67" t="str">
        <f t="shared" si="5"/>
        <v>level 7</v>
      </c>
      <c r="D67" s="1" t="s">
        <v>674</v>
      </c>
      <c r="E67" t="str">
        <f t="shared" si="6"/>
        <v>level 7</v>
      </c>
      <c r="F67" t="str">
        <f t="shared" si="7"/>
        <v>NULL</v>
      </c>
      <c r="G67" t="str">
        <f>_xlfn.TEXTJOIN(" ",TRUE,IF(IFERROR(MATCH(SUBSTITUTE(A67,".md",""),'Bard Spells'!A:A,0),0)&gt;0,"#Bard",""),IF(IFERROR(MATCH(SUBSTITUTE(A67,".md",""),'Cleric Spells'!A:A,0),0)&gt;0,"#Cleric",""),IF(IFERROR(MATCH(SUBSTITUTE(A67,".md",""),'Druid Spells'!A:A,0),0)&gt;0,"#Druid",""),IF(IFERROR(MATCH(SUBSTITUTE(A67,".md",""),'Paladin Spells'!A:A,0),0)&gt;0,"#Paladin",""),IF(IFERROR(MATCH(SUBSTITUTE(A67,".md",""),'Ranger Spells'!A:A,0),0)&gt;0,"#Ranger",""),IF(IFERROR(MATCH(SUBSTITUTE(A67,".md",""),'Sorcerer Spells'!A:A,0),0)&gt;0,"#Sorcerer",""),IF(IFERROR(MATCH(SUBSTITUTE(A67,".md",""),'Warlock Spells'!A:A,0),0)&gt;0,"#Warlock",""),IF(IFERROR(MATCH(SUBSTITUTE(A67,".md",""),'Wizard Spells'!A:A,0),0)&gt;0,"#Wizard",""))</f>
        <v>#Cleric</v>
      </c>
    </row>
    <row r="68" spans="1:7" ht="180" x14ac:dyDescent="0.25">
      <c r="A68" t="s">
        <v>67</v>
      </c>
      <c r="B68" s="1" t="str">
        <f t="shared" si="4"/>
        <v>level 5 - #conjuration Casting Time: Action Range: 60 feet Components: V, S Duration: #Concentration, up to 10 minutes 
You conjure a Large, intangible spirit from the Elemental Planes that appears in an unoccupied space within range. Choose the spirit's element, which determines its damage type: air (Lightning), earth (Thunder), fire (Fire), or water (Cold). The spirit lasts for the duration. 
Whenever a creature you can see enters the spirit's space or starts its turn within 5 feet of the spirit, you can force that creature to make a Dexterity saving throw if the spirit has no creature Restrained. On failed save, the target takes 8d8 damage of the spirit's type, and the target has the Restrained condition until the spell ends. At the start of each of its turns, the Restrained target repeats the save. On a failed save, the target takes 4d8 damage of the spirit's type. On a successful save, the target isn't Restrained by the spirit. 
Using a Higher-Level Spell Slot. The damage increases by 2d8 for each spell slot level above 5._x000D_
#Druid #Wizard</v>
      </c>
      <c r="C68" t="str">
        <f t="shared" si="5"/>
        <v>level 5</v>
      </c>
      <c r="D68" s="1" t="s">
        <v>675</v>
      </c>
      <c r="E68" t="str">
        <f t="shared" si="6"/>
        <v>level 5</v>
      </c>
      <c r="F68" t="str">
        <f t="shared" si="7"/>
        <v>NULL</v>
      </c>
      <c r="G68" t="str">
        <f>_xlfn.TEXTJOIN(" ",TRUE,IF(IFERROR(MATCH(SUBSTITUTE(A68,".md",""),'Bard Spells'!A:A,0),0)&gt;0,"#Bard",""),IF(IFERROR(MATCH(SUBSTITUTE(A68,".md",""),'Cleric Spells'!A:A,0),0)&gt;0,"#Cleric",""),IF(IFERROR(MATCH(SUBSTITUTE(A68,".md",""),'Druid Spells'!A:A,0),0)&gt;0,"#Druid",""),IF(IFERROR(MATCH(SUBSTITUTE(A68,".md",""),'Paladin Spells'!A:A,0),0)&gt;0,"#Paladin",""),IF(IFERROR(MATCH(SUBSTITUTE(A68,".md",""),'Ranger Spells'!A:A,0),0)&gt;0,"#Ranger",""),IF(IFERROR(MATCH(SUBSTITUTE(A68,".md",""),'Sorcerer Spells'!A:A,0),0)&gt;0,"#Sorcerer",""),IF(IFERROR(MATCH(SUBSTITUTE(A68,".md",""),'Warlock Spells'!A:A,0),0)&gt;0,"#Warlock",""),IF(IFERROR(MATCH(SUBSTITUTE(A68,".md",""),'Wizard Spells'!A:A,0),0)&gt;0,"#Wizard",""))</f>
        <v>#Druid #Wizard</v>
      </c>
    </row>
    <row r="69" spans="1:7" ht="165" x14ac:dyDescent="0.25">
      <c r="A69" t="s">
        <v>68</v>
      </c>
      <c r="B69" s="1" t="str">
        <f t="shared" si="4"/>
        <v>level 6 - #conjuration Casting Time: Action Range: 60 feet Components: V, S Duration: #Concentration, up to 10 minutes 
You conjure a Medium spirit from the Feywild in an unoccupied space you can see within range. The spirit lasts for the duration, and it looks like a Fey creature of your choice. When the spirit appears, you can make one melee spell attack against a creature within 5 feet of it. On a hit, the target takes Psychic damage equal to 3d12 plus your spellcasting ability modifier, and the target has the Frightened condition until the start of your next turn, with both you and the spirit as the source of the fear. 
As a Bonus Action on your later turns, you can teleport the spirit to an unoccupied space you can see within 30 feet of the space it left and make the attack against a creature within 5 feet of it. 
Using a Higher-Level Spell Slot. The damage increases by 2d12 for each spell slot level above 6_x000D_
#Druid</v>
      </c>
      <c r="C69" t="str">
        <f t="shared" si="5"/>
        <v>level 6</v>
      </c>
      <c r="D69" s="1" t="s">
        <v>676</v>
      </c>
      <c r="E69" t="str">
        <f t="shared" si="6"/>
        <v>level 6</v>
      </c>
      <c r="F69" t="str">
        <f t="shared" si="7"/>
        <v>NULL</v>
      </c>
      <c r="G69" t="str">
        <f>_xlfn.TEXTJOIN(" ",TRUE,IF(IFERROR(MATCH(SUBSTITUTE(A69,".md",""),'Bard Spells'!A:A,0),0)&gt;0,"#Bard",""),IF(IFERROR(MATCH(SUBSTITUTE(A69,".md",""),'Cleric Spells'!A:A,0),0)&gt;0,"#Cleric",""),IF(IFERROR(MATCH(SUBSTITUTE(A69,".md",""),'Druid Spells'!A:A,0),0)&gt;0,"#Druid",""),IF(IFERROR(MATCH(SUBSTITUTE(A69,".md",""),'Paladin Spells'!A:A,0),0)&gt;0,"#Paladin",""),IF(IFERROR(MATCH(SUBSTITUTE(A69,".md",""),'Ranger Spells'!A:A,0),0)&gt;0,"#Ranger",""),IF(IFERROR(MATCH(SUBSTITUTE(A69,".md",""),'Sorcerer Spells'!A:A,0),0)&gt;0,"#Sorcerer",""),IF(IFERROR(MATCH(SUBSTITUTE(A69,".md",""),'Warlock Spells'!A:A,0),0)&gt;0,"#Warlock",""),IF(IFERROR(MATCH(SUBSTITUTE(A69,".md",""),'Wizard Spells'!A:A,0),0)&gt;0,"#Wizard",""))</f>
        <v>#Druid</v>
      </c>
    </row>
    <row r="70" spans="1:7" ht="135" x14ac:dyDescent="0.25">
      <c r="A70" t="s">
        <v>69</v>
      </c>
      <c r="B70" s="1" t="str">
        <f t="shared" si="4"/>
        <v>level 4 - #conjuration Casting Time: Action Range: Self Components: V, S Duration: #Concentration, up to 10 minutes 
You conjure spirits from the Elemental Planes that flit around you in a 15-foot Emanation for the duration. Until the spell ends, any attack you make deals an extra 2d8 damage when you hit a creature in the Emanation. This damage is Acid, Cold, Fire, or Lightning (your choice when you make the attack). In addition, the ground in the Emanation is Difficult Terrain for your enemies. 
Using a Higher-Level Spell Slot. The damage increases by 2d8 for each spell slot level above 4._x000D_
#Druid #Wizard</v>
      </c>
      <c r="C70" t="str">
        <f t="shared" si="5"/>
        <v>level 4</v>
      </c>
      <c r="D70" s="1" t="s">
        <v>677</v>
      </c>
      <c r="E70" t="str">
        <f t="shared" si="6"/>
        <v>level 4</v>
      </c>
      <c r="F70" t="str">
        <f t="shared" si="7"/>
        <v>NULL</v>
      </c>
      <c r="G70" t="str">
        <f>_xlfn.TEXTJOIN(" ",TRUE,IF(IFERROR(MATCH(SUBSTITUTE(A70,".md",""),'Bard Spells'!A:A,0),0)&gt;0,"#Bard",""),IF(IFERROR(MATCH(SUBSTITUTE(A70,".md",""),'Cleric Spells'!A:A,0),0)&gt;0,"#Cleric",""),IF(IFERROR(MATCH(SUBSTITUTE(A70,".md",""),'Druid Spells'!A:A,0),0)&gt;0,"#Druid",""),IF(IFERROR(MATCH(SUBSTITUTE(A70,".md",""),'Paladin Spells'!A:A,0),0)&gt;0,"#Paladin",""),IF(IFERROR(MATCH(SUBSTITUTE(A70,".md",""),'Ranger Spells'!A:A,0),0)&gt;0,"#Ranger",""),IF(IFERROR(MATCH(SUBSTITUTE(A70,".md",""),'Sorcerer Spells'!A:A,0),0)&gt;0,"#Sorcerer",""),IF(IFERROR(MATCH(SUBSTITUTE(A70,".md",""),'Warlock Spells'!A:A,0),0)&gt;0,"#Warlock",""),IF(IFERROR(MATCH(SUBSTITUTE(A70,".md",""),'Wizard Spells'!A:A,0),0)&gt;0,"#Wizard",""))</f>
        <v>#Druid #Wizard</v>
      </c>
    </row>
    <row r="71" spans="1:7" ht="120" x14ac:dyDescent="0.25">
      <c r="A71" t="s">
        <v>70</v>
      </c>
      <c r="B71" s="1" t="str">
        <f t="shared" si="4"/>
        <v>level 5 - #conjuration Casting Time: Action Range: 150 feet Components: V, S, M (a Melee or Ranged weapon worth at least 1 CP) Duration: Instantaneous 
You brandish the weapon used to cast the spell and choose a point within range. Hundreds of similar spectral weapons (or ammunition appropriate to the weapon) fall in a volley and then disappear. Each creature of your choice that you can see in a 40-foot-radius, 20-foot-high Cylinder centered on that point makes a Dexterity saving throw. A creature takes 8d8 Force damage on a failed save or half as much damage on a successful one._x000D_
#Ranger</v>
      </c>
      <c r="C71" t="str">
        <f t="shared" si="5"/>
        <v>level 5</v>
      </c>
      <c r="D71" s="1" t="s">
        <v>628</v>
      </c>
      <c r="E71" t="str">
        <f t="shared" si="6"/>
        <v>level 5</v>
      </c>
      <c r="F71" t="str">
        <f t="shared" si="7"/>
        <v>NULL</v>
      </c>
      <c r="G71" t="str">
        <f>_xlfn.TEXTJOIN(" ",TRUE,IF(IFERROR(MATCH(SUBSTITUTE(A71,".md",""),'Bard Spells'!A:A,0),0)&gt;0,"#Bard",""),IF(IFERROR(MATCH(SUBSTITUTE(A71,".md",""),'Cleric Spells'!A:A,0),0)&gt;0,"#Cleric",""),IF(IFERROR(MATCH(SUBSTITUTE(A71,".md",""),'Druid Spells'!A:A,0),0)&gt;0,"#Druid",""),IF(IFERROR(MATCH(SUBSTITUTE(A71,".md",""),'Paladin Spells'!A:A,0),0)&gt;0,"#Paladin",""),IF(IFERROR(MATCH(SUBSTITUTE(A71,".md",""),'Ranger Spells'!A:A,0),0)&gt;0,"#Ranger",""),IF(IFERROR(MATCH(SUBSTITUTE(A71,".md",""),'Sorcerer Spells'!A:A,0),0)&gt;0,"#Sorcerer",""),IF(IFERROR(MATCH(SUBSTITUTE(A71,".md",""),'Warlock Spells'!A:A,0),0)&gt;0,"#Warlock",""),IF(IFERROR(MATCH(SUBSTITUTE(A71,".md",""),'Wizard Spells'!A:A,0),0)&gt;0,"#Wizard",""))</f>
        <v>#Ranger</v>
      </c>
    </row>
    <row r="72" spans="1:7" ht="150" x14ac:dyDescent="0.25">
      <c r="A72" t="s">
        <v>71</v>
      </c>
      <c r="B72" s="1" t="str">
        <f t="shared" si="4"/>
        <v>level 4 - #conjuration Casting Time: Action Range: Self Components: V, S Duration: #Concentration, up to 10 minutes 
You conjure nature spirits that flit around you in a 10-foot Emanation for the duration. Whenever the Emanation enters the space of a creature you can see and whenever a creature you can see enters the Emanation or ends its turn there, you can force that creature to make a Wisdom saving throw. The creature takes 5d8 Force damage on a failed save or half as much damage on a successful one. A creature makes this save only once per turn. In addition, you can take the Disengage action as a Bonus Action for the spell's duration. 
Using a Higher-Level Spell Slot. The damage increases by 1d8 for each spell slot level above 5_x000D_
#Druid #Ranger</v>
      </c>
      <c r="C72" t="str">
        <f t="shared" si="5"/>
        <v>level 4</v>
      </c>
      <c r="D72" s="1" t="s">
        <v>678</v>
      </c>
      <c r="E72" t="str">
        <f t="shared" si="6"/>
        <v>level 4</v>
      </c>
      <c r="F72" t="str">
        <f t="shared" si="7"/>
        <v>NULL</v>
      </c>
      <c r="G72" t="str">
        <f>_xlfn.TEXTJOIN(" ",TRUE,IF(IFERROR(MATCH(SUBSTITUTE(A72,".md",""),'Bard Spells'!A:A,0),0)&gt;0,"#Bard",""),IF(IFERROR(MATCH(SUBSTITUTE(A72,".md",""),'Cleric Spells'!A:A,0),0)&gt;0,"#Cleric",""),IF(IFERROR(MATCH(SUBSTITUTE(A72,".md",""),'Druid Spells'!A:A,0),0)&gt;0,"#Druid",""),IF(IFERROR(MATCH(SUBSTITUTE(A72,".md",""),'Paladin Spells'!A:A,0),0)&gt;0,"#Paladin",""),IF(IFERROR(MATCH(SUBSTITUTE(A72,".md",""),'Ranger Spells'!A:A,0),0)&gt;0,"#Ranger",""),IF(IFERROR(MATCH(SUBSTITUTE(A72,".md",""),'Sorcerer Spells'!A:A,0),0)&gt;0,"#Sorcerer",""),IF(IFERROR(MATCH(SUBSTITUTE(A72,".md",""),'Warlock Spells'!A:A,0),0)&gt;0,"#Warlock",""),IF(IFERROR(MATCH(SUBSTITUTE(A72,".md",""),'Wizard Spells'!A:A,0),0)&gt;0,"#Wizard",""))</f>
        <v>#Druid #Ranger</v>
      </c>
    </row>
    <row r="73" spans="1:7" ht="135" x14ac:dyDescent="0.25">
      <c r="A73" t="s">
        <v>72</v>
      </c>
      <c r="B73" s="1" t="str">
        <f t="shared" si="4"/>
        <v>level 5 - #divination ( #ritual ) Casting Time: 1 minute or Ritual Range: Self Components: V Duration: 1 minute 
You mentally contact a demigod, the spirit of a long-dead sage, or some other knowledgeable entity from another plane. Contacting this otherworldly intelligence can break your mind. When you cast this spell, make a DC 15 Intelligence saving throw. On a successful save, you can ask the entity up to five questions. You must ask your questions before the spell ends. The DM answers each question with one word, such as "yes," "no," "maybe," "never," "irrelevant," or "unclear" (if the entity doesn't know the answer to the question). If a one-word answer would be misleading, the DM might instead offer a short phrase as an answer. On a failed save, you take 6d6 Psychic damage and have the Incapacitated condition until you finish a Long Rest. A Greater Restoration spell cast on you ends this effect._x000D_
#Warlock #Wizard</v>
      </c>
      <c r="C73" t="str">
        <f t="shared" si="5"/>
        <v>level 5</v>
      </c>
      <c r="D73" s="1" t="s">
        <v>647</v>
      </c>
      <c r="E73" t="str">
        <f t="shared" si="6"/>
        <v>level 5</v>
      </c>
      <c r="F73" t="str">
        <f t="shared" si="7"/>
        <v>NULL</v>
      </c>
      <c r="G73" t="str">
        <f>_xlfn.TEXTJOIN(" ",TRUE,IF(IFERROR(MATCH(SUBSTITUTE(A73,".md",""),'Bard Spells'!A:A,0),0)&gt;0,"#Bard",""),IF(IFERROR(MATCH(SUBSTITUTE(A73,".md",""),'Cleric Spells'!A:A,0),0)&gt;0,"#Cleric",""),IF(IFERROR(MATCH(SUBSTITUTE(A73,".md",""),'Druid Spells'!A:A,0),0)&gt;0,"#Druid",""),IF(IFERROR(MATCH(SUBSTITUTE(A73,".md",""),'Paladin Spells'!A:A,0),0)&gt;0,"#Paladin",""),IF(IFERROR(MATCH(SUBSTITUTE(A73,".md",""),'Ranger Spells'!A:A,0),0)&gt;0,"#Ranger",""),IF(IFERROR(MATCH(SUBSTITUTE(A73,".md",""),'Sorcerer Spells'!A:A,0),0)&gt;0,"#Sorcerer",""),IF(IFERROR(MATCH(SUBSTITUTE(A73,".md",""),'Warlock Spells'!A:A,0),0)&gt;0,"#Warlock",""),IF(IFERROR(MATCH(SUBSTITUTE(A73,".md",""),'Wizard Spells'!A:A,0),0)&gt;0,"#Wizard",""))</f>
        <v>#Warlock #Wizard</v>
      </c>
    </row>
    <row r="74" spans="1:7" ht="135" x14ac:dyDescent="0.25">
      <c r="A74" t="s">
        <v>73</v>
      </c>
      <c r="B74" s="1" t="str">
        <f t="shared" si="4"/>
        <v>level 5 - #necromancy Casting Time: Action Range: Touch Components: V, S Duration: 7 days
Your touch inflicts a magical contagion. The target must succeed on a Constitution saving throw or take 11d8 Necrotic damage and have the Poisoned condition. Also, choose one ability when you cast the spell. While Poisoned, the target has Disadvantage on saving throws made with the chosen ability. The target must repeat the saving throw at the end of each of its turns until it gets three successes or failures. If the target succeeds on three of these saves, the spell ends on the target. If the target fails three of the saves, the spell lasts for 7 days on it. Whenever the Poisoned target receives an effect that would end the Poisoned condition, the target must succeed on a Constitution saving throw, or the Poisoned condition doesn't end on it_x000D_
#Cleric #Druid</v>
      </c>
      <c r="C74" t="str">
        <f t="shared" si="5"/>
        <v>level 5</v>
      </c>
      <c r="D74" s="1" t="s">
        <v>629</v>
      </c>
      <c r="E74" t="str">
        <f t="shared" si="6"/>
        <v>level 5</v>
      </c>
      <c r="F74" t="str">
        <f t="shared" si="7"/>
        <v>NULL</v>
      </c>
      <c r="G74" t="str">
        <f>_xlfn.TEXTJOIN(" ",TRUE,IF(IFERROR(MATCH(SUBSTITUTE(A74,".md",""),'Bard Spells'!A:A,0),0)&gt;0,"#Bard",""),IF(IFERROR(MATCH(SUBSTITUTE(A74,".md",""),'Cleric Spells'!A:A,0),0)&gt;0,"#Cleric",""),IF(IFERROR(MATCH(SUBSTITUTE(A74,".md",""),'Druid Spells'!A:A,0),0)&gt;0,"#Druid",""),IF(IFERROR(MATCH(SUBSTITUTE(A74,".md",""),'Paladin Spells'!A:A,0),0)&gt;0,"#Paladin",""),IF(IFERROR(MATCH(SUBSTITUTE(A74,".md",""),'Ranger Spells'!A:A,0),0)&gt;0,"#Ranger",""),IF(IFERROR(MATCH(SUBSTITUTE(A74,".md",""),'Sorcerer Spells'!A:A,0),0)&gt;0,"#Sorcerer",""),IF(IFERROR(MATCH(SUBSTITUTE(A74,".md",""),'Warlock Spells'!A:A,0),0)&gt;0,"#Warlock",""),IF(IFERROR(MATCH(SUBSTITUTE(A74,".md",""),'Wizard Spells'!A:A,0),0)&gt;0,"#Wizard",""))</f>
        <v>#Cleric #Druid</v>
      </c>
    </row>
    <row r="75" spans="1:7" ht="165" x14ac:dyDescent="0.25">
      <c r="A75" t="s">
        <v>74</v>
      </c>
      <c r="B75" s="1" t="str">
        <f t="shared" si="4"/>
        <v>level 6 - #abjuration Casting Time: 10 minutes Range: Self Components: V, S, M (a gem-incrusted statuette of yourself worth 1,500+ GP) Duration: 10 days 
Choose a spell of level 5 or lower that you can cast, that has a casting time of an action, and that can target you. You cast that spellâ€”called the contingent spellâ€”as part of casting Contingency, expending spell slots for both, but the contingent spell doesn't come into effect. Instead, it takes effect when a certain trigger occurs. You describe that trigger when you cast the two spells. For example, a Contingency cast with Water Breathing might stipulate that Water Breathing comes into effect when you are engulfed in water or a similar liquid. 
The contingent spell takes effect immediately after the trigger occurs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
#Wizard</v>
      </c>
      <c r="C75" t="str">
        <f t="shared" si="5"/>
        <v>level 6</v>
      </c>
      <c r="D75" s="1" t="s">
        <v>1214</v>
      </c>
      <c r="E75" t="str">
        <f t="shared" si="6"/>
        <v>level 6</v>
      </c>
      <c r="F75" t="str">
        <f t="shared" si="7"/>
        <v>NULL</v>
      </c>
      <c r="G75" t="str">
        <f>_xlfn.TEXTJOIN(" ",TRUE,IF(IFERROR(MATCH(SUBSTITUTE(A75,".md",""),'Bard Spells'!A:A,0),0)&gt;0,"#Bard",""),IF(IFERROR(MATCH(SUBSTITUTE(A75,".md",""),'Cleric Spells'!A:A,0),0)&gt;0,"#Cleric",""),IF(IFERROR(MATCH(SUBSTITUTE(A75,".md",""),'Druid Spells'!A:A,0),0)&gt;0,"#Druid",""),IF(IFERROR(MATCH(SUBSTITUTE(A75,".md",""),'Paladin Spells'!A:A,0),0)&gt;0,"#Paladin",""),IF(IFERROR(MATCH(SUBSTITUTE(A75,".md",""),'Ranger Spells'!A:A,0),0)&gt;0,"#Ranger",""),IF(IFERROR(MATCH(SUBSTITUTE(A75,".md",""),'Sorcerer Spells'!A:A,0),0)&gt;0,"#Sorcerer",""),IF(IFERROR(MATCH(SUBSTITUTE(A75,".md",""),'Warlock Spells'!A:A,0),0)&gt;0,"#Warlock",""),IF(IFERROR(MATCH(SUBSTITUTE(A75,".md",""),'Wizard Spells'!A:A,0),0)&gt;0,"#Wizard",""))</f>
        <v>#Wizard</v>
      </c>
    </row>
    <row r="76" spans="1:7" ht="105" x14ac:dyDescent="0.25">
      <c r="A76" t="s">
        <v>75</v>
      </c>
      <c r="B76" s="1" t="str">
        <f t="shared" si="4"/>
        <v>level 2 - #evocation Casting Time: Action Range: Touch Components: V, S, M (ruby dust worth 50+ GP, which the spell consumes) Duration: Until dispelled 
A flame springs from an object that you touch. The effect casts Bright Light in a 20-foot radius and Dim Light for an additional 20 feet. It looks like a regular flame, but it creates no heat and consumes no fuel. The flame can be covered or hidden but not smothered or quenched._x000D_
#Cleric #Druid #Wizard</v>
      </c>
      <c r="C76" t="str">
        <f t="shared" si="5"/>
        <v>level 2</v>
      </c>
      <c r="D76" s="1" t="s">
        <v>630</v>
      </c>
      <c r="E76" t="str">
        <f t="shared" si="6"/>
        <v>level 2</v>
      </c>
      <c r="F76" t="str">
        <f t="shared" si="7"/>
        <v>NULL</v>
      </c>
      <c r="G76" t="str">
        <f>_xlfn.TEXTJOIN(" ",TRUE,IF(IFERROR(MATCH(SUBSTITUTE(A76,".md",""),'Bard Spells'!A:A,0),0)&gt;0,"#Bard",""),IF(IFERROR(MATCH(SUBSTITUTE(A76,".md",""),'Cleric Spells'!A:A,0),0)&gt;0,"#Cleric",""),IF(IFERROR(MATCH(SUBSTITUTE(A76,".md",""),'Druid Spells'!A:A,0),0)&gt;0,"#Druid",""),IF(IFERROR(MATCH(SUBSTITUTE(A76,".md",""),'Paladin Spells'!A:A,0),0)&gt;0,"#Paladin",""),IF(IFERROR(MATCH(SUBSTITUTE(A76,".md",""),'Ranger Spells'!A:A,0),0)&gt;0,"#Ranger",""),IF(IFERROR(MATCH(SUBSTITUTE(A76,".md",""),'Sorcerer Spells'!A:A,0),0)&gt;0,"#Sorcerer",""),IF(IFERROR(MATCH(SUBSTITUTE(A76,".md",""),'Warlock Spells'!A:A,0),0)&gt;0,"#Warlock",""),IF(IFERROR(MATCH(SUBSTITUTE(A76,".md",""),'Wizard Spells'!A:A,0),0)&gt;0,"#Wizard",""))</f>
        <v>#Cleric #Druid #Wizard</v>
      </c>
    </row>
    <row r="77" spans="1:7" ht="285" x14ac:dyDescent="0.25">
      <c r="A77" t="s">
        <v>76</v>
      </c>
      <c r="B77" s="1" t="str">
        <f t="shared" si="4"/>
        <v>level 4 - #transmutation Casting Time: Action Range: 300 feet Components: V, S, M (a mixture of water and dust) Duration: #Concentration, up to 10 minutes 
Until the spell ends, you control any water inside an area you choose that is a Cube up to 100 feet on a side, using one of the following effects. As a Magic action on your later turns, you can repeat the same effect or choose a different one. 
**Flood.** You cause the water level of all standing water in the area to rise by as much as 20 feet. If you choose an area in a large body of water, you instead create a 20-foot tall wave that travels from one side of the area to the other and then crashes.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part water in the area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The water continues to move in the direction you chose until the spell ends or you choose a different effect. 
**Whirlpool.** You cause a whirlpool to form in the center of the area, which must be at least 50 feet square and 25 feet deep. The whirlpool lasts until you choose a different effect or the spell ends. The whirlpool is 5 feet wide at the base, up to 50 feet wide at the top, and 25 feet tall. Any creature in the water and within 25 feet of the whirlpool is pulled 10 feet toward it. When a creature enters the whirlpool for the first time on a turn or ends its turn there, it makes a Strength saving throw. On a failed save, the creature takes 2d8 Bludgeoning damage. On a successful save, the creature takes half as much damage. A creature can swim away from the whirlpool only if it first takes an action to pull away and succeeds on a Strength (Athletics) check against your spell save DC._x000D_
#Cleric #Druid #Wizard</v>
      </c>
      <c r="C77" t="str">
        <f t="shared" si="5"/>
        <v>level 4</v>
      </c>
      <c r="D77" s="1" t="s">
        <v>679</v>
      </c>
      <c r="E77" t="str">
        <f t="shared" si="6"/>
        <v>level 4</v>
      </c>
      <c r="F77" t="str">
        <f t="shared" si="7"/>
        <v>NULL</v>
      </c>
      <c r="G77" t="str">
        <f>_xlfn.TEXTJOIN(" ",TRUE,IF(IFERROR(MATCH(SUBSTITUTE(A77,".md",""),'Bard Spells'!A:A,0),0)&gt;0,"#Bard",""),IF(IFERROR(MATCH(SUBSTITUTE(A77,".md",""),'Cleric Spells'!A:A,0),0)&gt;0,"#Cleric",""),IF(IFERROR(MATCH(SUBSTITUTE(A77,".md",""),'Druid Spells'!A:A,0),0)&gt;0,"#Druid",""),IF(IFERROR(MATCH(SUBSTITUTE(A77,".md",""),'Paladin Spells'!A:A,0),0)&gt;0,"#Paladin",""),IF(IFERROR(MATCH(SUBSTITUTE(A77,".md",""),'Ranger Spells'!A:A,0),0)&gt;0,"#Ranger",""),IF(IFERROR(MATCH(SUBSTITUTE(A77,".md",""),'Sorcerer Spells'!A:A,0),0)&gt;0,"#Sorcerer",""),IF(IFERROR(MATCH(SUBSTITUTE(A77,".md",""),'Warlock Spells'!A:A,0),0)&gt;0,"#Warlock",""),IF(IFERROR(MATCH(SUBSTITUTE(A77,".md",""),'Wizard Spells'!A:A,0),0)&gt;0,"#Wizard",""))</f>
        <v>#Cleric #Druid #Wizard</v>
      </c>
    </row>
    <row r="78" spans="1:7" ht="409.5" x14ac:dyDescent="0.25">
      <c r="A78" t="s">
        <v>77</v>
      </c>
      <c r="B78" s="1" t="str">
        <f t="shared" si="4"/>
        <v>level 8 - #transmutation Casting Time: 10 minutes Range: Self Components: V, S, M (burning incense) Duration: #Concentration, up to 8 hours 
You take control of the weather within 5 miles of you for the duration. You must be outdoors to cast this spell, and it ends early if you go indoors. When you cast the spell, you change the current weather conditions, which are determined by the DM. You can change precipitation, temperature, and wind. It takes 1d4 Ã—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Condition 
1 Clear 
2 Light clouds 
3 Overcast or ground fog 
4 Rain, hail, or snow 
5 Torrential rain, driving hail, or blizzard 
**Temperature** 
Stage Condition 
1 Heat wave 
2 Hot 
3 Warm 
4 Cool 
5 Cold 
6 Freezing 
**Wind** 
Stage Condition 
1 Calm 
2 Moderate wind 
3 Strong wind 
4 Gale 
5 Storm_x000D_
#Cleric #Druid #Wizard</v>
      </c>
      <c r="C78" t="str">
        <f t="shared" si="5"/>
        <v>level 8</v>
      </c>
      <c r="D78" s="1" t="s">
        <v>680</v>
      </c>
      <c r="E78" t="str">
        <f t="shared" si="6"/>
        <v>level 8</v>
      </c>
      <c r="F78" t="str">
        <f t="shared" si="7"/>
        <v>NULL</v>
      </c>
      <c r="G78" t="str">
        <f>_xlfn.TEXTJOIN(" ",TRUE,IF(IFERROR(MATCH(SUBSTITUTE(A78,".md",""),'Bard Spells'!A:A,0),0)&gt;0,"#Bard",""),IF(IFERROR(MATCH(SUBSTITUTE(A78,".md",""),'Cleric Spells'!A:A,0),0)&gt;0,"#Cleric",""),IF(IFERROR(MATCH(SUBSTITUTE(A78,".md",""),'Druid Spells'!A:A,0),0)&gt;0,"#Druid",""),IF(IFERROR(MATCH(SUBSTITUTE(A78,".md",""),'Paladin Spells'!A:A,0),0)&gt;0,"#Paladin",""),IF(IFERROR(MATCH(SUBSTITUTE(A78,".md",""),'Ranger Spells'!A:A,0),0)&gt;0,"#Ranger",""),IF(IFERROR(MATCH(SUBSTITUTE(A78,".md",""),'Sorcerer Spells'!A:A,0),0)&gt;0,"#Sorcerer",""),IF(IFERROR(MATCH(SUBSTITUTE(A78,".md",""),'Warlock Spells'!A:A,0),0)&gt;0,"#Warlock",""),IF(IFERROR(MATCH(SUBSTITUTE(A78,".md",""),'Wizard Spells'!A:A,0),0)&gt;0,"#Wizard",""))</f>
        <v>#Cleric #Druid #Wizard</v>
      </c>
    </row>
    <row r="79" spans="1:7" ht="165" x14ac:dyDescent="0.25">
      <c r="A79" t="s">
        <v>78</v>
      </c>
      <c r="B79" s="1" t="str">
        <f t="shared" si="4"/>
        <v>level 2 - #transmutation Casting Time: Action Range: Touch Components: V, S, M (an ornamental braid) Duration: 8 hours 
You touch up to four nonmagical Arrows or Bolts and plant them in the ground in your space. Until the spell ends, the ammunition can't be physically uprooted, and whenever a creature other than you enters a space within 30 feet of the ammunition for the first time on a turn or ends its turn there, one piece of ammunition flies up to strike it. The creature must succeed on a Dexterity saving throw or take 2d4 Piercing damage. The piece of ammunition is then destroyed. The spell ends when none of the ammunition remains planted in the ground. When you cast this spell, you can designate any creatures you choose, and the spell ignores them. 
**Using a Higher-Level Spell Slot.** The amount of ammunition that can be affected increases by two for each spell slot level above 2._x000D_
#Ranger</v>
      </c>
      <c r="C79" t="str">
        <f t="shared" si="5"/>
        <v>level 2</v>
      </c>
      <c r="D79" s="1" t="s">
        <v>631</v>
      </c>
      <c r="E79" t="str">
        <f t="shared" si="6"/>
        <v>level 2</v>
      </c>
      <c r="F79" t="str">
        <f t="shared" si="7"/>
        <v>NULL</v>
      </c>
      <c r="G79" t="str">
        <f>_xlfn.TEXTJOIN(" ",TRUE,IF(IFERROR(MATCH(SUBSTITUTE(A79,".md",""),'Bard Spells'!A:A,0),0)&gt;0,"#Bard",""),IF(IFERROR(MATCH(SUBSTITUTE(A79,".md",""),'Cleric Spells'!A:A,0),0)&gt;0,"#Cleric",""),IF(IFERROR(MATCH(SUBSTITUTE(A79,".md",""),'Druid Spells'!A:A,0),0)&gt;0,"#Druid",""),IF(IFERROR(MATCH(SUBSTITUTE(A79,".md",""),'Paladin Spells'!A:A,0),0)&gt;0,"#Paladin",""),IF(IFERROR(MATCH(SUBSTITUTE(A79,".md",""),'Ranger Spells'!A:A,0),0)&gt;0,"#Ranger",""),IF(IFERROR(MATCH(SUBSTITUTE(A79,".md",""),'Sorcerer Spells'!A:A,0),0)&gt;0,"#Sorcerer",""),IF(IFERROR(MATCH(SUBSTITUTE(A79,".md",""),'Warlock Spells'!A:A,0),0)&gt;0,"#Warlock",""),IF(IFERROR(MATCH(SUBSTITUTE(A79,".md",""),'Wizard Spells'!A:A,0),0)&gt;0,"#Wizard",""))</f>
        <v>#Ranger</v>
      </c>
    </row>
    <row r="80" spans="1:7" ht="120" x14ac:dyDescent="0.25">
      <c r="A80" t="s">
        <v>79</v>
      </c>
      <c r="B80" s="1" t="str">
        <f t="shared" si="4"/>
        <v>level 3 - #abjuration Casting Time: #Reaction, which you take when you see a creature within 60 feet of yourself casting a spell with Verbal, Somatic, or Material components Range: 60 feet Components: S Duration: Instantaneous 
You attempt to interrupt a creature in the process of casting a spell. The creature must make a Constitution saving throw. On a failed save, the spell dissipates with no effect, and the action, Bonus Action, or Reaction used to cast it is wasted. If that spell was cast with a spell slot, the slot isn't expended_x000D_
#Sorcerer #Warlock #Wizard</v>
      </c>
      <c r="C80" t="str">
        <f t="shared" si="5"/>
        <v>level 3</v>
      </c>
      <c r="D80" s="1" t="s">
        <v>1183</v>
      </c>
      <c r="E80" t="str">
        <f t="shared" si="6"/>
        <v>level 3</v>
      </c>
      <c r="F80" t="str">
        <f t="shared" si="7"/>
        <v>NULL</v>
      </c>
      <c r="G80" t="str">
        <f>_xlfn.TEXTJOIN(" ",TRUE,IF(IFERROR(MATCH(SUBSTITUTE(A80,".md",""),'Bard Spells'!A:A,0),0)&gt;0,"#Bard",""),IF(IFERROR(MATCH(SUBSTITUTE(A80,".md",""),'Cleric Spells'!A:A,0),0)&gt;0,"#Cleric",""),IF(IFERROR(MATCH(SUBSTITUTE(A80,".md",""),'Druid Spells'!A:A,0),0)&gt;0,"#Druid",""),IF(IFERROR(MATCH(SUBSTITUTE(A80,".md",""),'Paladin Spells'!A:A,0),0)&gt;0,"#Paladin",""),IF(IFERROR(MATCH(SUBSTITUTE(A80,".md",""),'Ranger Spells'!A:A,0),0)&gt;0,"#Ranger",""),IF(IFERROR(MATCH(SUBSTITUTE(A80,".md",""),'Sorcerer Spells'!A:A,0),0)&gt;0,"#Sorcerer",""),IF(IFERROR(MATCH(SUBSTITUTE(A80,".md",""),'Warlock Spells'!A:A,0),0)&gt;0,"#Warlock",""),IF(IFERROR(MATCH(SUBSTITUTE(A80,".md",""),'Wizard Spells'!A:A,0),0)&gt;0,"#Wizard",""))</f>
        <v>#Sorcerer #Warlock #Wizard</v>
      </c>
    </row>
    <row r="81" spans="1:7" ht="105" x14ac:dyDescent="0.25">
      <c r="A81" t="s">
        <v>80</v>
      </c>
      <c r="B81" s="1" t="str">
        <f t="shared" si="4"/>
        <v>level 3 - #conjuration Casting Time: Action Range: 30 feet Components: V, S Duration: Instantaneous 
You create 45 pounds of food and 30 gallons of fresh water on the ground or in containers within rangeâ€”both useful in fending off the hazards of malnutrition and dehydration. The food is bland but nourishing and looks like a food of your choice, and the water is clean. The food spoils after 24 hours if uneaten._x000D_
#Cleric #Paladin</v>
      </c>
      <c r="C81" t="str">
        <f t="shared" si="5"/>
        <v>level 3</v>
      </c>
      <c r="D81" s="1" t="s">
        <v>632</v>
      </c>
      <c r="E81" t="str">
        <f t="shared" si="6"/>
        <v>level 3</v>
      </c>
      <c r="F81" t="str">
        <f t="shared" si="7"/>
        <v>NULL</v>
      </c>
      <c r="G81" t="str">
        <f>_xlfn.TEXTJOIN(" ",TRUE,IF(IFERROR(MATCH(SUBSTITUTE(A81,".md",""),'Bard Spells'!A:A,0),0)&gt;0,"#Bard",""),IF(IFERROR(MATCH(SUBSTITUTE(A81,".md",""),'Cleric Spells'!A:A,0),0)&gt;0,"#Cleric",""),IF(IFERROR(MATCH(SUBSTITUTE(A81,".md",""),'Druid Spells'!A:A,0),0)&gt;0,"#Druid",""),IF(IFERROR(MATCH(SUBSTITUTE(A81,".md",""),'Paladin Spells'!A:A,0),0)&gt;0,"#Paladin",""),IF(IFERROR(MATCH(SUBSTITUTE(A81,".md",""),'Ranger Spells'!A:A,0),0)&gt;0,"#Ranger",""),IF(IFERROR(MATCH(SUBSTITUTE(A81,".md",""),'Sorcerer Spells'!A:A,0),0)&gt;0,"#Sorcerer",""),IF(IFERROR(MATCH(SUBSTITUTE(A81,".md",""),'Warlock Spells'!A:A,0),0)&gt;0,"#Warlock",""),IF(IFERROR(MATCH(SUBSTITUTE(A81,".md",""),'Wizard Spells'!A:A,0),0)&gt;0,"#Wizard",""))</f>
        <v>#Cleric #Paladin</v>
      </c>
    </row>
    <row r="82" spans="1:7" ht="135" x14ac:dyDescent="0.25">
      <c r="A82" t="s">
        <v>81</v>
      </c>
      <c r="B82" s="1" t="str">
        <f t="shared" si="4"/>
        <v>level 1 - #transmutation Casting Time: Action Range: 30 feet Components: V, S, M (a mix of water and sand) Duration: Instantaneous 
You do one of the following: Create Water. You create up to 10 gallons of clean water within range in an open container. Alternatively, the water falls as rain in a 30-foot Cube within range, extinguishing exposed flames there. Destroy Water. You destroy up to 10 gallons of water in an open container within range. Alternatively, you destroy fog in a 30-foot Cube within range. 
Using a Higher-Level Spell Slot. You create or destroy 10 additional gallons of water, or the size of the Cube increases by 5 feet, for each spell slot level above 1._x000D_
#Cleric #Druid</v>
      </c>
      <c r="C82" t="str">
        <f t="shared" si="5"/>
        <v>level 1</v>
      </c>
      <c r="D82" s="1" t="s">
        <v>82</v>
      </c>
      <c r="E82" t="str">
        <f t="shared" si="6"/>
        <v>level 1</v>
      </c>
      <c r="F82" t="str">
        <f t="shared" si="7"/>
        <v>NULL</v>
      </c>
      <c r="G82" t="str">
        <f>_xlfn.TEXTJOIN(" ",TRUE,IF(IFERROR(MATCH(SUBSTITUTE(A82,".md",""),'Bard Spells'!A:A,0),0)&gt;0,"#Bard",""),IF(IFERROR(MATCH(SUBSTITUTE(A82,".md",""),'Cleric Spells'!A:A,0),0)&gt;0,"#Cleric",""),IF(IFERROR(MATCH(SUBSTITUTE(A82,".md",""),'Druid Spells'!A:A,0),0)&gt;0,"#Druid",""),IF(IFERROR(MATCH(SUBSTITUTE(A82,".md",""),'Paladin Spells'!A:A,0),0)&gt;0,"#Paladin",""),IF(IFERROR(MATCH(SUBSTITUTE(A82,".md",""),'Ranger Spells'!A:A,0),0)&gt;0,"#Ranger",""),IF(IFERROR(MATCH(SUBSTITUTE(A82,".md",""),'Sorcerer Spells'!A:A,0),0)&gt;0,"#Sorcerer",""),IF(IFERROR(MATCH(SUBSTITUTE(A82,".md",""),'Warlock Spells'!A:A,0),0)&gt;0,"#Warlock",""),IF(IFERROR(MATCH(SUBSTITUTE(A82,".md",""),'Wizard Spells'!A:A,0),0)&gt;0,"#Wizard",""))</f>
        <v>#Cleric #Druid</v>
      </c>
    </row>
    <row r="83" spans="1:7" ht="210" x14ac:dyDescent="0.25">
      <c r="A83" t="s">
        <v>83</v>
      </c>
      <c r="B83" s="1" t="str">
        <f t="shared" si="4"/>
        <v>level 6 - #necromancy Casting Time: 1 minute Range: 10 feet Components: V, S, M (one 150+ GP black onyx stone for each corpse) Duration: Instantaneous 
You can cast this spell only at night. Choose up to three corpses of Medium or Small Humanoids within range. Each one becomes a Ghoul under your control. As a Bonus Action on each of your turns, you can mentally command any creature you animated with this spell if the creature is within 120 feet of you (if you control multiple creatures, you can command any of them at the same time, issuing the same command to them). You decide what action the creature will take and where it will move on its next turn, or you can issue a general command, such as to guard a particular place. If you issue no commands, the creature takes the Dodge action and moves only to avoid harm. Once given an order, the creature continues to follow the order until its task is complete. 
The creature is under your control for 24 hours, after which it stops obeying any command you've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 
Using a Higher-Level Spell Slot. If you use a level 7 spell slot, you can animate or reassert control over four Ghouls. If you use a level 8 spell slot, you can animate or reassert control over five Ghouls or two Ghasts or Wights. If you use a level 9 spell slot, you can animate or reassert contro_x000D_
#Cleric #Warlock #Wizard</v>
      </c>
      <c r="C83" t="str">
        <f t="shared" si="5"/>
        <v>level 6</v>
      </c>
      <c r="D83" s="1" t="s">
        <v>84</v>
      </c>
      <c r="E83" t="str">
        <f t="shared" si="6"/>
        <v>level 6</v>
      </c>
      <c r="F83" t="str">
        <f t="shared" si="7"/>
        <v>NULL</v>
      </c>
      <c r="G83" t="str">
        <f>_xlfn.TEXTJOIN(" ",TRUE,IF(IFERROR(MATCH(SUBSTITUTE(A83,".md",""),'Bard Spells'!A:A,0),0)&gt;0,"#Bard",""),IF(IFERROR(MATCH(SUBSTITUTE(A83,".md",""),'Cleric Spells'!A:A,0),0)&gt;0,"#Cleric",""),IF(IFERROR(MATCH(SUBSTITUTE(A83,".md",""),'Druid Spells'!A:A,0),0)&gt;0,"#Druid",""),IF(IFERROR(MATCH(SUBSTITUTE(A83,".md",""),'Paladin Spells'!A:A,0),0)&gt;0,"#Paladin",""),IF(IFERROR(MATCH(SUBSTITUTE(A83,".md",""),'Ranger Spells'!A:A,0),0)&gt;0,"#Ranger",""),IF(IFERROR(MATCH(SUBSTITUTE(A83,".md",""),'Sorcerer Spells'!A:A,0),0)&gt;0,"#Sorcerer",""),IF(IFERROR(MATCH(SUBSTITUTE(A83,".md",""),'Warlock Spells'!A:A,0),0)&gt;0,"#Warlock",""),IF(IFERROR(MATCH(SUBSTITUTE(A83,".md",""),'Wizard Spells'!A:A,0),0)&gt;0,"#Wizard",""))</f>
        <v>#Cleric #Warlock #Wizard</v>
      </c>
    </row>
    <row r="84" spans="1:7" ht="270" x14ac:dyDescent="0.25">
      <c r="A84" t="s">
        <v>85</v>
      </c>
      <c r="B84" s="1" t="str">
        <f t="shared" si="4"/>
        <v>level 5 - #illusion Casting Time: 1 minute Range: 30 feet Components: V, S, M (a paintbrush) Duration: Special 
You pull wisps of shadow material from the Shadowfell to create an object within range. It is either an object of vegetable matter (soft goods, rope, wood, and the like) or mineral matter (stone, crystal, metal, and the like). The object must be no larger than a 5-foot Cube, and the object must be of a form and material that you have seen. 
The spell's duration depends on the object's material, as shown in the Materials table. If the object is composed of multiple materials, use the shortest duration. Using any object created by this spell as another spell's Material component causes the other spell to fail. 
Material Duration 
Vegetable matter       24 hours 
Stone or crystal          12 hours 
Precious metals            1 hour 
Gems                          10 minutes 
Adamantine or mithral 1 minute 
Using a Higher-Level Spell Slot. The Cube increases by 5 feet for each spell slot level above 5._x000D_
#Sorcerer #Wizard</v>
      </c>
      <c r="C84" t="str">
        <f t="shared" si="5"/>
        <v>level 5</v>
      </c>
      <c r="D84" s="1" t="s">
        <v>86</v>
      </c>
      <c r="E84" t="str">
        <f t="shared" si="6"/>
        <v>level 5</v>
      </c>
      <c r="F84" t="str">
        <f t="shared" si="7"/>
        <v>NULL</v>
      </c>
      <c r="G84" t="str">
        <f>_xlfn.TEXTJOIN(" ",TRUE,IF(IFERROR(MATCH(SUBSTITUTE(A84,".md",""),'Bard Spells'!A:A,0),0)&gt;0,"#Bard",""),IF(IFERROR(MATCH(SUBSTITUTE(A84,".md",""),'Cleric Spells'!A:A,0),0)&gt;0,"#Cleric",""),IF(IFERROR(MATCH(SUBSTITUTE(A84,".md",""),'Druid Spells'!A:A,0),0)&gt;0,"#Druid",""),IF(IFERROR(MATCH(SUBSTITUTE(A84,".md",""),'Paladin Spells'!A:A,0),0)&gt;0,"#Paladin",""),IF(IFERROR(MATCH(SUBSTITUTE(A84,".md",""),'Ranger Spells'!A:A,0),0)&gt;0,"#Ranger",""),IF(IFERROR(MATCH(SUBSTITUTE(A84,".md",""),'Sorcerer Spells'!A:A,0),0)&gt;0,"#Sorcerer",""),IF(IFERROR(MATCH(SUBSTITUTE(A84,".md",""),'Warlock Spells'!A:A,0),0)&gt;0,"#Warlock",""),IF(IFERROR(MATCH(SUBSTITUTE(A84,".md",""),'Wizard Spells'!A:A,0),0)&gt;0,"#Wizard",""))</f>
        <v>#Sorcerer #Wizard</v>
      </c>
    </row>
    <row r="85" spans="1:7" ht="135" x14ac:dyDescent="0.25">
      <c r="A85" t="s">
        <v>87</v>
      </c>
      <c r="B85" s="1" t="str">
        <f t="shared" si="4"/>
        <v>level 2 - #enchantment Casting Time: Action Range: 120 feet Components: V, S Duration: #Concentration, up to 1 minute 
One creature that you can see within range must succeed on a Wisdom saving throw or have the Charmed condition for the duration. The creature succeeds automatically if it isn't Humanoid. A spectral crown appears on the Charmed target's head, and it must use its action before moving on each of its turns to make a melee attack against a creature other than itself that you mentally choose. The target can act normally on its turn if you choose no creature or if no creature is within its reach. The target repeats the save at the end of each of its turns, ending the spell on itself on a success. 
On your later turns, you must take the Magic action to maintain control of the target, or the spell ends_x000D_
#Bard #Sorcerer #Warlock #Wizard</v>
      </c>
      <c r="C85" t="str">
        <f t="shared" si="5"/>
        <v>level 2</v>
      </c>
      <c r="D85" s="1" t="s">
        <v>88</v>
      </c>
      <c r="E85" t="str">
        <f t="shared" si="6"/>
        <v>level 2</v>
      </c>
      <c r="F85" t="str">
        <f t="shared" si="7"/>
        <v>NULL</v>
      </c>
      <c r="G85" t="str">
        <f>_xlfn.TEXTJOIN(" ",TRUE,IF(IFERROR(MATCH(SUBSTITUTE(A85,".md",""),'Bard Spells'!A:A,0),0)&gt;0,"#Bard",""),IF(IFERROR(MATCH(SUBSTITUTE(A85,".md",""),'Cleric Spells'!A:A,0),0)&gt;0,"#Cleric",""),IF(IFERROR(MATCH(SUBSTITUTE(A85,".md",""),'Druid Spells'!A:A,0),0)&gt;0,"#Druid",""),IF(IFERROR(MATCH(SUBSTITUTE(A85,".md",""),'Paladin Spells'!A:A,0),0)&gt;0,"#Paladin",""),IF(IFERROR(MATCH(SUBSTITUTE(A85,".md",""),'Ranger Spells'!A:A,0),0)&gt;0,"#Ranger",""),IF(IFERROR(MATCH(SUBSTITUTE(A85,".md",""),'Sorcerer Spells'!A:A,0),0)&gt;0,"#Sorcerer",""),IF(IFERROR(MATCH(SUBSTITUTE(A85,".md",""),'Warlock Spells'!A:A,0),0)&gt;0,"#Warlock",""),IF(IFERROR(MATCH(SUBSTITUTE(A85,".md",""),'Wizard Spells'!A:A,0),0)&gt;0,"#Wizard",""))</f>
        <v>#Bard #Sorcerer #Warlock #Wizard</v>
      </c>
    </row>
    <row r="86" spans="1:7" ht="90" x14ac:dyDescent="0.25">
      <c r="A86" t="s">
        <v>89</v>
      </c>
      <c r="B86" s="1" t="str">
        <f t="shared" si="4"/>
        <v>level 3 - #evocation Casting Time: Action Range: Self Components: V Duration: #Concentration, up to 1 minute 
You radiate a magical aura in a 30-foot Emanation. While in the aura, you and your allies each deal an extra 1d4 Radiant damage when hitting with a weapon or an Unarmed Strike_x000D_
#Paladin</v>
      </c>
      <c r="C86" t="str">
        <f t="shared" si="5"/>
        <v>level 3</v>
      </c>
      <c r="D86" s="1" t="s">
        <v>681</v>
      </c>
      <c r="E86" t="str">
        <f t="shared" si="6"/>
        <v>level 3</v>
      </c>
      <c r="F86" t="str">
        <f t="shared" si="7"/>
        <v>NULL</v>
      </c>
      <c r="G86" t="str">
        <f>_xlfn.TEXTJOIN(" ",TRUE,IF(IFERROR(MATCH(SUBSTITUTE(A86,".md",""),'Bard Spells'!A:A,0),0)&gt;0,"#Bard",""),IF(IFERROR(MATCH(SUBSTITUTE(A86,".md",""),'Cleric Spells'!A:A,0),0)&gt;0,"#Cleric",""),IF(IFERROR(MATCH(SUBSTITUTE(A86,".md",""),'Druid Spells'!A:A,0),0)&gt;0,"#Druid",""),IF(IFERROR(MATCH(SUBSTITUTE(A86,".md",""),'Paladin Spells'!A:A,0),0)&gt;0,"#Paladin",""),IF(IFERROR(MATCH(SUBSTITUTE(A86,".md",""),'Ranger Spells'!A:A,0),0)&gt;0,"#Ranger",""),IF(IFERROR(MATCH(SUBSTITUTE(A86,".md",""),'Sorcerer Spells'!A:A,0),0)&gt;0,"#Sorcerer",""),IF(IFERROR(MATCH(SUBSTITUTE(A86,".md",""),'Warlock Spells'!A:A,0),0)&gt;0,"#Warlock",""),IF(IFERROR(MATCH(SUBSTITUTE(A86,".md",""),'Wizard Spells'!A:A,0),0)&gt;0,"#Wizard",""))</f>
        <v>#Paladin</v>
      </c>
    </row>
    <row r="87" spans="1:7" ht="120" x14ac:dyDescent="0.25">
      <c r="A87" t="s">
        <v>90</v>
      </c>
      <c r="B87" s="1" t="str">
        <f t="shared" si="4"/>
        <v>level 1 - #abjuration Casting Time: Action Range: Touch Components: V, S Duration: Instantaneous 
A creature you touch regains a number of Hit Points equal to 2d8 plus your spellcasting ability modifier. 
Using a Higher-Level Spell Slot. The healing increases by 2d8 for each spell slot level above 1_x000D_
#Bard #Cleric #Druid #Paladin #Ranger</v>
      </c>
      <c r="C87" t="str">
        <f t="shared" si="5"/>
        <v>level 1</v>
      </c>
      <c r="D87" s="1" t="s">
        <v>91</v>
      </c>
      <c r="E87" t="str">
        <f t="shared" si="6"/>
        <v>level 1</v>
      </c>
      <c r="F87" t="str">
        <f t="shared" si="7"/>
        <v>NULL</v>
      </c>
      <c r="G87" t="str">
        <f>_xlfn.TEXTJOIN(" ",TRUE,IF(IFERROR(MATCH(SUBSTITUTE(A87,".md",""),'Bard Spells'!A:A,0),0)&gt;0,"#Bard",""),IF(IFERROR(MATCH(SUBSTITUTE(A87,".md",""),'Cleric Spells'!A:A,0),0)&gt;0,"#Cleric",""),IF(IFERROR(MATCH(SUBSTITUTE(A87,".md",""),'Druid Spells'!A:A,0),0)&gt;0,"#Druid",""),IF(IFERROR(MATCH(SUBSTITUTE(A87,".md",""),'Paladin Spells'!A:A,0),0)&gt;0,"#Paladin",""),IF(IFERROR(MATCH(SUBSTITUTE(A87,".md",""),'Ranger Spells'!A:A,0),0)&gt;0,"#Ranger",""),IF(IFERROR(MATCH(SUBSTITUTE(A87,".md",""),'Sorcerer Spells'!A:A,0),0)&gt;0,"#Sorcerer",""),IF(IFERROR(MATCH(SUBSTITUTE(A87,".md",""),'Warlock Spells'!A:A,0),0)&gt;0,"#Warlock",""),IF(IFERROR(MATCH(SUBSTITUTE(A87,".md",""),'Wizard Spells'!A:A,0),0)&gt;0,"#Wizard",""))</f>
        <v>#Bard #Cleric #Druid #Paladin #Ranger</v>
      </c>
    </row>
    <row r="88" spans="1:7" ht="120" x14ac:dyDescent="0.25">
      <c r="A88" t="s">
        <v>92</v>
      </c>
      <c r="B88" s="1" t="str">
        <f t="shared" si="4"/>
        <v>level 0 - #illusion Casting Time: Action Range: 120 feet Components: V, S, M (a bit of phosphorus) Duration: #Concentration, up to 1 minute 
You create up to four torch-size lights within range, making them appear as torches, lanterns, or glowing orbs that hover for the duration. Alternatively, you combine the four lights into one glowing Medium form that is vaguely humanlike. Whichever form you choose, each light sheds Dim Light in a 10-foot radius. 
As a Bonus Action, you can move the lights up to 60 feet to a space within range. A light must be within 20 feet of another light created by this spell, and a light vanishes if it exceeds the spell's range._x000D_
#Bard #Sorcerer #Wizard</v>
      </c>
      <c r="C88" t="str">
        <f t="shared" si="5"/>
        <v>level 0</v>
      </c>
      <c r="D88" s="1" t="s">
        <v>93</v>
      </c>
      <c r="E88" t="str">
        <f t="shared" si="6"/>
        <v>level 0</v>
      </c>
      <c r="F88" t="str">
        <f t="shared" si="7"/>
        <v>NULL</v>
      </c>
      <c r="G88" t="str">
        <f>_xlfn.TEXTJOIN(" ",TRUE,IF(IFERROR(MATCH(SUBSTITUTE(A88,".md",""),'Bard Spells'!A:A,0),0)&gt;0,"#Bard",""),IF(IFERROR(MATCH(SUBSTITUTE(A88,".md",""),'Cleric Spells'!A:A,0),0)&gt;0,"#Cleric",""),IF(IFERROR(MATCH(SUBSTITUTE(A88,".md",""),'Druid Spells'!A:A,0),0)&gt;0,"#Druid",""),IF(IFERROR(MATCH(SUBSTITUTE(A88,".md",""),'Paladin Spells'!A:A,0),0)&gt;0,"#Paladin",""),IF(IFERROR(MATCH(SUBSTITUTE(A88,".md",""),'Ranger Spells'!A:A,0),0)&gt;0,"#Ranger",""),IF(IFERROR(MATCH(SUBSTITUTE(A88,".md",""),'Sorcerer Spells'!A:A,0),0)&gt;0,"#Sorcerer",""),IF(IFERROR(MATCH(SUBSTITUTE(A88,".md",""),'Warlock Spells'!A:A,0),0)&gt;0,"#Warlock",""),IF(IFERROR(MATCH(SUBSTITUTE(A88,".md",""),'Wizard Spells'!A:A,0),0)&gt;0,"#Wizard",""))</f>
        <v>#Bard #Sorcerer #Wizard</v>
      </c>
    </row>
    <row r="89" spans="1:7" ht="135" x14ac:dyDescent="0.25">
      <c r="A89" t="s">
        <v>94</v>
      </c>
      <c r="B89" s="1" t="str">
        <f t="shared" si="4"/>
        <v>level 2 - #evocation Casting Time: Action Range: 60 feet Components: V, M (bat fur and a piece of coal) Duration: #Concentration, up to 10 minutes 
For the duration, magical Darkness spreads from a point within range and fills a 15-foot-radius Sphere. Darkvision can't see through it, and nonmagical light can't illuminate it. 
Alternatively, you cast the spell on an object that isn't being worn or carried, causing the Darkness to fill a 15-foot Emanation originating from that object. Covering that object with something opaque, such as a bowl or helm, blocks the Darkness.
If any of this spell's area overlaps with an area of Bright Light or Dim Light created by a spell of level 2 or lower, that other spell is dispelled_x000D_
#Sorcerer #Warlock #Wizard</v>
      </c>
      <c r="C89" t="str">
        <f t="shared" si="5"/>
        <v>level 2</v>
      </c>
      <c r="D89" s="1" t="s">
        <v>95</v>
      </c>
      <c r="E89" t="str">
        <f t="shared" si="6"/>
        <v>level 2</v>
      </c>
      <c r="F89" t="str">
        <f t="shared" si="7"/>
        <v>NULL</v>
      </c>
      <c r="G89" t="str">
        <f>_xlfn.TEXTJOIN(" ",TRUE,IF(IFERROR(MATCH(SUBSTITUTE(A89,".md",""),'Bard Spells'!A:A,0),0)&gt;0,"#Bard",""),IF(IFERROR(MATCH(SUBSTITUTE(A89,".md",""),'Cleric Spells'!A:A,0),0)&gt;0,"#Cleric",""),IF(IFERROR(MATCH(SUBSTITUTE(A89,".md",""),'Druid Spells'!A:A,0),0)&gt;0,"#Druid",""),IF(IFERROR(MATCH(SUBSTITUTE(A89,".md",""),'Paladin Spells'!A:A,0),0)&gt;0,"#Paladin",""),IF(IFERROR(MATCH(SUBSTITUTE(A89,".md",""),'Ranger Spells'!A:A,0),0)&gt;0,"#Ranger",""),IF(IFERROR(MATCH(SUBSTITUTE(A89,".md",""),'Sorcerer Spells'!A:A,0),0)&gt;0,"#Sorcerer",""),IF(IFERROR(MATCH(SUBSTITUTE(A89,".md",""),'Warlock Spells'!A:A,0),0)&gt;0,"#Warlock",""),IF(IFERROR(MATCH(SUBSTITUTE(A89,".md",""),'Wizard Spells'!A:A,0),0)&gt;0,"#Wizard",""))</f>
        <v>#Sorcerer #Warlock #Wizard</v>
      </c>
    </row>
    <row r="90" spans="1:7" ht="90" x14ac:dyDescent="0.25">
      <c r="A90" t="s">
        <v>96</v>
      </c>
      <c r="B90" s="1" t="str">
        <f t="shared" si="4"/>
        <v>level 2 - #transmutation Casting Time: Action Range: Touch Components: V, S, M (a dried carrot) Duration: 8 hours 
For the duration, a willing creature you touch has Darkvision with a range of 150 feet_x000D_
#Druid #Ranger #Sorcerer #Wizard</v>
      </c>
      <c r="C90" t="str">
        <f t="shared" si="5"/>
        <v>level 2</v>
      </c>
      <c r="D90" s="1" t="s">
        <v>633</v>
      </c>
      <c r="E90" t="str">
        <f t="shared" si="6"/>
        <v>level 2</v>
      </c>
      <c r="F90" t="str">
        <f t="shared" si="7"/>
        <v>NULL</v>
      </c>
      <c r="G90" t="str">
        <f>_xlfn.TEXTJOIN(" ",TRUE,IF(IFERROR(MATCH(SUBSTITUTE(A90,".md",""),'Bard Spells'!A:A,0),0)&gt;0,"#Bard",""),IF(IFERROR(MATCH(SUBSTITUTE(A90,".md",""),'Cleric Spells'!A:A,0),0)&gt;0,"#Cleric",""),IF(IFERROR(MATCH(SUBSTITUTE(A90,".md",""),'Druid Spells'!A:A,0),0)&gt;0,"#Druid",""),IF(IFERROR(MATCH(SUBSTITUTE(A90,".md",""),'Paladin Spells'!A:A,0),0)&gt;0,"#Paladin",""),IF(IFERROR(MATCH(SUBSTITUTE(A90,".md",""),'Ranger Spells'!A:A,0),0)&gt;0,"#Ranger",""),IF(IFERROR(MATCH(SUBSTITUTE(A90,".md",""),'Sorcerer Spells'!A:A,0),0)&gt;0,"#Sorcerer",""),IF(IFERROR(MATCH(SUBSTITUTE(A90,".md",""),'Warlock Spells'!A:A,0),0)&gt;0,"#Warlock",""),IF(IFERROR(MATCH(SUBSTITUTE(A90,".md",""),'Wizard Spells'!A:A,0),0)&gt;0,"#Wizard",""))</f>
        <v>#Druid #Ranger #Sorcerer #Wizard</v>
      </c>
    </row>
    <row r="91" spans="1:7" ht="135" x14ac:dyDescent="0.25">
      <c r="A91" t="s">
        <v>97</v>
      </c>
      <c r="B91" s="1" t="str">
        <f t="shared" si="4"/>
        <v>level 3 - #evocation Casting Time: Action Range: 60 feet Components: V, S Duration: 1 hour 
For the duration, sunlight spreads from a point within range and fills a 60-foot-radius Sphere. The sunlight's area is Bright Light and sheds Dim Light for an additional 60 feet. 
Alternatively, you cast the spell on an object that isn't being worn or carried, causing the sunlight to fill a 60-foot Emanation originating from that object. Covering that object with something opaque, such as a bowl or helm, blocks the sunlight. 
If any of this spell's area overlaps with an area of Darkness created by a spell of level 3 or lower, that other spell is dispelled_x000D_
#Cleric #Druid #Paladin #Ranger #Sorcerer</v>
      </c>
      <c r="C91" t="str">
        <f t="shared" si="5"/>
        <v>level 3</v>
      </c>
      <c r="D91" s="1" t="s">
        <v>634</v>
      </c>
      <c r="E91" t="str">
        <f t="shared" si="6"/>
        <v>level 3</v>
      </c>
      <c r="F91" t="str">
        <f t="shared" si="7"/>
        <v>NULL</v>
      </c>
      <c r="G91" t="str">
        <f>_xlfn.TEXTJOIN(" ",TRUE,IF(IFERROR(MATCH(SUBSTITUTE(A91,".md",""),'Bard Spells'!A:A,0),0)&gt;0,"#Bard",""),IF(IFERROR(MATCH(SUBSTITUTE(A91,".md",""),'Cleric Spells'!A:A,0),0)&gt;0,"#Cleric",""),IF(IFERROR(MATCH(SUBSTITUTE(A91,".md",""),'Druid Spells'!A:A,0),0)&gt;0,"#Druid",""),IF(IFERROR(MATCH(SUBSTITUTE(A91,".md",""),'Paladin Spells'!A:A,0),0)&gt;0,"#Paladin",""),IF(IFERROR(MATCH(SUBSTITUTE(A91,".md",""),'Ranger Spells'!A:A,0),0)&gt;0,"#Ranger",""),IF(IFERROR(MATCH(SUBSTITUTE(A91,".md",""),'Sorcerer Spells'!A:A,0),0)&gt;0,"#Sorcerer",""),IF(IFERROR(MATCH(SUBSTITUTE(A91,".md",""),'Warlock Spells'!A:A,0),0)&gt;0,"#Warlock",""),IF(IFERROR(MATCH(SUBSTITUTE(A91,".md",""),'Wizard Spells'!A:A,0),0)&gt;0,"#Wizard",""))</f>
        <v>#Cleric #Druid #Paladin #Ranger #Sorcerer</v>
      </c>
    </row>
    <row r="92" spans="1:7" ht="105" x14ac:dyDescent="0.25">
      <c r="A92" t="s">
        <v>98</v>
      </c>
      <c r="B92" s="1" t="str">
        <f t="shared" si="4"/>
        <v>level 4 - #abjuration Casting Time: Action Range: Touch Components: V, S Duration: 8 hours 
You touch a creature and grant it a measure of protection from death. The first time the target would drop to 0 Hit Points before the spell ends, the target instead drops to 1 Hit Point, and the spell ends. 
If the spell is still in effect when the target is subjected to an effect that would kill it instantly without dealing damage, that effect is negated against the target, and the spell ends._x000D_
#Cleric #Paladin</v>
      </c>
      <c r="C92" t="str">
        <f t="shared" si="5"/>
        <v>level 4</v>
      </c>
      <c r="D92" s="1" t="s">
        <v>635</v>
      </c>
      <c r="E92" t="str">
        <f t="shared" si="6"/>
        <v>level 4</v>
      </c>
      <c r="F92" t="str">
        <f t="shared" si="7"/>
        <v>NULL</v>
      </c>
      <c r="G92" t="str">
        <f>_xlfn.TEXTJOIN(" ",TRUE,IF(IFERROR(MATCH(SUBSTITUTE(A92,".md",""),'Bard Spells'!A:A,0),0)&gt;0,"#Bard",""),IF(IFERROR(MATCH(SUBSTITUTE(A92,".md",""),'Cleric Spells'!A:A,0),0)&gt;0,"#Cleric",""),IF(IFERROR(MATCH(SUBSTITUTE(A92,".md",""),'Druid Spells'!A:A,0),0)&gt;0,"#Druid",""),IF(IFERROR(MATCH(SUBSTITUTE(A92,".md",""),'Paladin Spells'!A:A,0),0)&gt;0,"#Paladin",""),IF(IFERROR(MATCH(SUBSTITUTE(A92,".md",""),'Ranger Spells'!A:A,0),0)&gt;0,"#Ranger",""),IF(IFERROR(MATCH(SUBSTITUTE(A92,".md",""),'Sorcerer Spells'!A:A,0),0)&gt;0,"#Sorcerer",""),IF(IFERROR(MATCH(SUBSTITUTE(A92,".md",""),'Warlock Spells'!A:A,0),0)&gt;0,"#Warlock",""),IF(IFERROR(MATCH(SUBSTITUTE(A92,".md",""),'Wizard Spells'!A:A,0),0)&gt;0,"#Wizard",""))</f>
        <v>#Cleric #Paladin</v>
      </c>
    </row>
    <row r="93" spans="1:7" ht="195" x14ac:dyDescent="0.25">
      <c r="A93" t="s">
        <v>99</v>
      </c>
      <c r="B93" s="1" t="str">
        <f t="shared" si="4"/>
        <v>level 7 - #evocation Casting Time: Action Range: 150 feet Components: V, S, M (a ball of bat guano and sulfur) Duration: #Concentration, up to 1 minute 
A beam of yellow light flashes from you, then condenses at a chosen point within range as a glowing bead for the duration. When the spell ends, the bead explodes, and each creature in a 20- foot-radius Sphere centered on that point makes a Dexterity saving throw. A creature takes Fire damage equal to the total accumulated damage on a failed save or half as much damage on a successful one. 
The spell's base damage is 12d6, and the damage increases by 1d6 whenever your turn ends and the spell hasn't ended. If a creature touches the glowing bead before the spell ends, that creature makes a Dexterity saving throw. On a failed save, the spell ends, causing the bead to explode. 
On a successful save, the creature can throw the bead up to 40 feet. If the thrown bead enters a creature's space or collides with a solid object, the spell ends, and the bead explodes. 
When the bead explodes, flammable objects in the explosion that aren't being worn or carried start burning. 
Using a Higher-Level Spell Slot. The base damage increases by 1d6 for each spell slot level above 7._x000D_
#Sorcerer #Wizard</v>
      </c>
      <c r="C93" t="str">
        <f t="shared" si="5"/>
        <v>level 7</v>
      </c>
      <c r="D93" s="1" t="s">
        <v>100</v>
      </c>
      <c r="E93" t="str">
        <f t="shared" si="6"/>
        <v>level 7</v>
      </c>
      <c r="F93" t="str">
        <f t="shared" si="7"/>
        <v>NULL</v>
      </c>
      <c r="G93" t="str">
        <f>_xlfn.TEXTJOIN(" ",TRUE,IF(IFERROR(MATCH(SUBSTITUTE(A93,".md",""),'Bard Spells'!A:A,0),0)&gt;0,"#Bard",""),IF(IFERROR(MATCH(SUBSTITUTE(A93,".md",""),'Cleric Spells'!A:A,0),0)&gt;0,"#Cleric",""),IF(IFERROR(MATCH(SUBSTITUTE(A93,".md",""),'Druid Spells'!A:A,0),0)&gt;0,"#Druid",""),IF(IFERROR(MATCH(SUBSTITUTE(A93,".md",""),'Paladin Spells'!A:A,0),0)&gt;0,"#Paladin",""),IF(IFERROR(MATCH(SUBSTITUTE(A93,".md",""),'Ranger Spells'!A:A,0),0)&gt;0,"#Ranger",""),IF(IFERROR(MATCH(SUBSTITUTE(A93,".md",""),'Sorcerer Spells'!A:A,0),0)&gt;0,"#Sorcerer",""),IF(IFERROR(MATCH(SUBSTITUTE(A93,".md",""),'Warlock Spells'!A:A,0),0)&gt;0,"#Warlock",""),IF(IFERROR(MATCH(SUBSTITUTE(A93,".md",""),'Wizard Spells'!A:A,0),0)&gt;0,"#Wizard",""))</f>
        <v>#Sorcerer #Wizard</v>
      </c>
    </row>
    <row r="94" spans="1:7" ht="165" x14ac:dyDescent="0.25">
      <c r="A94" t="s">
        <v>101</v>
      </c>
      <c r="B94" s="1" t="str">
        <f t="shared" si="4"/>
        <v>level 8 - #conjuration Casting Time: Action Range: 60 feet Components: S Duration: 1 hour 
You create a shadowy Medium door on a flat solid surface that you can see within range. This door can be opened and closed, and it leads to a demiplane that is an empty room 30 feet in each dimension, made of wood or stone (your choice). 
When the spell ends, the door vanishes, and any objects inside the demiplane remain there. Any creatures inside also remain unless they opt to be shunted through the door as it vanishes, landing with the Prone condition in the unoccupied spaces closest to the door's former space. 
Each time you cast this spell, you can create a new demiplane or connect the shadowy door to a demiplane you created with a previous casting of this spell. Additionally, if you know the nature and contents of a demiplane created by a casting of this spell by another creature, you can connect the shadowy door to that demiplane instead_x000D_
#Sorcerer #Warlock #Wizard</v>
      </c>
      <c r="C94" t="str">
        <f t="shared" si="5"/>
        <v>level 8</v>
      </c>
      <c r="D94" s="1" t="s">
        <v>102</v>
      </c>
      <c r="E94" t="str">
        <f t="shared" si="6"/>
        <v>level 8</v>
      </c>
      <c r="F94" t="str">
        <f t="shared" si="7"/>
        <v>NULL</v>
      </c>
      <c r="G94" t="str">
        <f>_xlfn.TEXTJOIN(" ",TRUE,IF(IFERROR(MATCH(SUBSTITUTE(A94,".md",""),'Bard Spells'!A:A,0),0)&gt;0,"#Bard",""),IF(IFERROR(MATCH(SUBSTITUTE(A94,".md",""),'Cleric Spells'!A:A,0),0)&gt;0,"#Cleric",""),IF(IFERROR(MATCH(SUBSTITUTE(A94,".md",""),'Druid Spells'!A:A,0),0)&gt;0,"#Druid",""),IF(IFERROR(MATCH(SUBSTITUTE(A94,".md",""),'Paladin Spells'!A:A,0),0)&gt;0,"#Paladin",""),IF(IFERROR(MATCH(SUBSTITUTE(A94,".md",""),'Ranger Spells'!A:A,0),0)&gt;0,"#Ranger",""),IF(IFERROR(MATCH(SUBSTITUTE(A94,".md",""),'Sorcerer Spells'!A:A,0),0)&gt;0,"#Sorcerer",""),IF(IFERROR(MATCH(SUBSTITUTE(A94,".md",""),'Warlock Spells'!A:A,0),0)&gt;0,"#Warlock",""),IF(IFERROR(MATCH(SUBSTITUTE(A94,".md",""),'Wizard Spells'!A:A,0),0)&gt;0,"#Wizard",""))</f>
        <v>#Sorcerer #Warlock #Wizard</v>
      </c>
    </row>
    <row r="95" spans="1:7" ht="90" x14ac:dyDescent="0.25">
      <c r="A95" t="s">
        <v>103</v>
      </c>
      <c r="B95" s="1" t="str">
        <f t="shared" si="4"/>
        <v>level 5 - #evocation Casting Time: Action Range: Self Components: V Duration: Instantaneous 
Description not available (not OGL)._x000D_
#Paladin</v>
      </c>
      <c r="C95" t="str">
        <f t="shared" si="5"/>
        <v>level 5</v>
      </c>
      <c r="D95" s="1" t="s">
        <v>104</v>
      </c>
      <c r="E95" t="str">
        <f t="shared" si="6"/>
        <v>level 5</v>
      </c>
      <c r="F95" t="str">
        <f t="shared" si="7"/>
        <v>NULL</v>
      </c>
      <c r="G95" t="str">
        <f>_xlfn.TEXTJOIN(" ",TRUE,IF(IFERROR(MATCH(SUBSTITUTE(A95,".md",""),'Bard Spells'!A:A,0),0)&gt;0,"#Bard",""),IF(IFERROR(MATCH(SUBSTITUTE(A95,".md",""),'Cleric Spells'!A:A,0),0)&gt;0,"#Cleric",""),IF(IFERROR(MATCH(SUBSTITUTE(A95,".md",""),'Druid Spells'!A:A,0),0)&gt;0,"#Druid",""),IF(IFERROR(MATCH(SUBSTITUTE(A95,".md",""),'Paladin Spells'!A:A,0),0)&gt;0,"#Paladin",""),IF(IFERROR(MATCH(SUBSTITUTE(A95,".md",""),'Ranger Spells'!A:A,0),0)&gt;0,"#Ranger",""),IF(IFERROR(MATCH(SUBSTITUTE(A95,".md",""),'Sorcerer Spells'!A:A,0),0)&gt;0,"#Sorcerer",""),IF(IFERROR(MATCH(SUBSTITUTE(A95,".md",""),'Warlock Spells'!A:A,0),0)&gt;0,"#Warlock",""),IF(IFERROR(MATCH(SUBSTITUTE(A95,".md",""),'Wizard Spells'!A:A,0),0)&gt;0,"#Wizard",""))</f>
        <v>#Paladin</v>
      </c>
    </row>
    <row r="96" spans="1:7" ht="105" x14ac:dyDescent="0.25">
      <c r="A96" t="s">
        <v>105</v>
      </c>
      <c r="B96" s="1" t="str">
        <f t="shared" si="4"/>
        <v>level 1 - #divination Casting Time: Action Range: Self Components: V, S Duration: #Concentration, up to 10 minutes 
For the duration, you sense the location of any Aberration, Celestial, Elemental, Fey, Fiend, or Undead within 30 feet of yourself. You also sense whether the Hallow spell is active there and, if so, where. 
The spell is blocked by 1 foot of stone, dirt, or wood; 1 inch of metal; or a thin sheet of lead._x000D_
#Cleric #Paladin</v>
      </c>
      <c r="C96" t="str">
        <f t="shared" si="5"/>
        <v>level 1</v>
      </c>
      <c r="D96" s="1" t="s">
        <v>682</v>
      </c>
      <c r="E96" t="str">
        <f t="shared" si="6"/>
        <v>level 1</v>
      </c>
      <c r="F96" t="str">
        <f t="shared" si="7"/>
        <v>NULL</v>
      </c>
      <c r="G96" t="str">
        <f>_xlfn.TEXTJOIN(" ",TRUE,IF(IFERROR(MATCH(SUBSTITUTE(A96,".md",""),'Bard Spells'!A:A,0),0)&gt;0,"#Bard",""),IF(IFERROR(MATCH(SUBSTITUTE(A96,".md",""),'Cleric Spells'!A:A,0),0)&gt;0,"#Cleric",""),IF(IFERROR(MATCH(SUBSTITUTE(A96,".md",""),'Druid Spells'!A:A,0),0)&gt;0,"#Druid",""),IF(IFERROR(MATCH(SUBSTITUTE(A96,".md",""),'Paladin Spells'!A:A,0),0)&gt;0,"#Paladin",""),IF(IFERROR(MATCH(SUBSTITUTE(A96,".md",""),'Ranger Spells'!A:A,0),0)&gt;0,"#Ranger",""),IF(IFERROR(MATCH(SUBSTITUTE(A96,".md",""),'Sorcerer Spells'!A:A,0),0)&gt;0,"#Sorcerer",""),IF(IFERROR(MATCH(SUBSTITUTE(A96,".md",""),'Warlock Spells'!A:A,0),0)&gt;0,"#Warlock",""),IF(IFERROR(MATCH(SUBSTITUTE(A96,".md",""),'Wizard Spells'!A:A,0),0)&gt;0,"#Wizard",""))</f>
        <v>#Cleric #Paladin</v>
      </c>
    </row>
    <row r="97" spans="1:7" ht="120" x14ac:dyDescent="0.25">
      <c r="A97" t="s">
        <v>106</v>
      </c>
      <c r="B97" s="1" t="str">
        <f t="shared" si="4"/>
        <v>level 1 - #divination ( #ritual ) Casting Time: Action or Ritual Range: Self Components: V, S Duration: #Concentration, up to 10 minutes 
For the duration, you sense the presence of magical effects within 30 feet of yourself. If you sense such effects, you can take the Magic action to see a faint aura around any visible creature or object in the area that bears the magic, and if an effect was created by a spell, you learn the spell's school of magic.
The spell is blocked by 1 foot of stone, dirt, or wood; 1 inch of metal; or a thin sheet of lead_x000D_
#Bard #Cleric #Druid #Paladin #Ranger #Sorcerer #Warlock #Wizard</v>
      </c>
      <c r="C97" t="str">
        <f t="shared" si="5"/>
        <v>level 1</v>
      </c>
      <c r="D97" s="1" t="s">
        <v>107</v>
      </c>
      <c r="E97" t="str">
        <f t="shared" si="6"/>
        <v>level 1</v>
      </c>
      <c r="F97" t="str">
        <f t="shared" si="7"/>
        <v>NULL</v>
      </c>
      <c r="G97" t="str">
        <f>_xlfn.TEXTJOIN(" ",TRUE,IF(IFERROR(MATCH(SUBSTITUTE(A97,".md",""),'Bard Spells'!A:A,0),0)&gt;0,"#Bard",""),IF(IFERROR(MATCH(SUBSTITUTE(A97,".md",""),'Cleric Spells'!A:A,0),0)&gt;0,"#Cleric",""),IF(IFERROR(MATCH(SUBSTITUTE(A97,".md",""),'Druid Spells'!A:A,0),0)&gt;0,"#Druid",""),IF(IFERROR(MATCH(SUBSTITUTE(A97,".md",""),'Paladin Spells'!A:A,0),0)&gt;0,"#Paladin",""),IF(IFERROR(MATCH(SUBSTITUTE(A97,".md",""),'Ranger Spells'!A:A,0),0)&gt;0,"#Ranger",""),IF(IFERROR(MATCH(SUBSTITUTE(A97,".md",""),'Sorcerer Spells'!A:A,0),0)&gt;0,"#Sorcerer",""),IF(IFERROR(MATCH(SUBSTITUTE(A97,".md",""),'Warlock Spells'!A:A,0),0)&gt;0,"#Warlock",""),IF(IFERROR(MATCH(SUBSTITUTE(A97,".md",""),'Wizard Spells'!A:A,0),0)&gt;0,"#Wizard",""))</f>
        <v>#Bard #Cleric #Druid #Paladin #Ranger #Sorcerer #Warlock #Wizard</v>
      </c>
    </row>
    <row r="98" spans="1:7" ht="105" x14ac:dyDescent="0.25">
      <c r="A98" t="s">
        <v>108</v>
      </c>
      <c r="B98" s="1" t="str">
        <f t="shared" si="4"/>
        <v>level 1 - #divination ( #ritual ) Casting Time: Action or Ritual Range: Self Components: V, S, M (a yew leaf) Duration: #Concentration, up to 10 minutes 
For the duration, you sense the location of poisons, poisonous or venomous creatures, and magical contagions within 30 feet of yourself. You sense the kind of poison, creature, or contagion in each case. 
The spell is blocked by 1 foot of stone, dirt, or wood; 1 inch of metal; or a thin sheet of lead_x000D_
#Cleric #Druid #Paladin #Ranger</v>
      </c>
      <c r="C98" t="str">
        <f t="shared" si="5"/>
        <v>level 1</v>
      </c>
      <c r="D98" s="1" t="s">
        <v>109</v>
      </c>
      <c r="E98" t="str">
        <f t="shared" si="6"/>
        <v>level 1</v>
      </c>
      <c r="F98" t="str">
        <f t="shared" si="7"/>
        <v>NULL</v>
      </c>
      <c r="G98" t="str">
        <f>_xlfn.TEXTJOIN(" ",TRUE,IF(IFERROR(MATCH(SUBSTITUTE(A98,".md",""),'Bard Spells'!A:A,0),0)&gt;0,"#Bard",""),IF(IFERROR(MATCH(SUBSTITUTE(A98,".md",""),'Cleric Spells'!A:A,0),0)&gt;0,"#Cleric",""),IF(IFERROR(MATCH(SUBSTITUTE(A98,".md",""),'Druid Spells'!A:A,0),0)&gt;0,"#Druid",""),IF(IFERROR(MATCH(SUBSTITUTE(A98,".md",""),'Paladin Spells'!A:A,0),0)&gt;0,"#Paladin",""),IF(IFERROR(MATCH(SUBSTITUTE(A98,".md",""),'Ranger Spells'!A:A,0),0)&gt;0,"#Ranger",""),IF(IFERROR(MATCH(SUBSTITUTE(A98,".md",""),'Sorcerer Spells'!A:A,0),0)&gt;0,"#Sorcerer",""),IF(IFERROR(MATCH(SUBSTITUTE(A98,".md",""),'Warlock Spells'!A:A,0),0)&gt;0,"#Warlock",""),IF(IFERROR(MATCH(SUBSTITUTE(A98,".md",""),'Wizard Spells'!A:A,0),0)&gt;0,"#Wizard",""))</f>
        <v>#Cleric #Druid #Paladin #Ranger</v>
      </c>
    </row>
    <row r="99" spans="1:7" ht="210" x14ac:dyDescent="0.25">
      <c r="A99" t="s">
        <v>110</v>
      </c>
      <c r="B99" s="1" t="str">
        <f t="shared" si="4"/>
        <v>level 2 - #divination Casting Time: Action Range: Self Components: V, S, M (a copper piece) Duration: #Concentration, up to 1 minute 
You activate one of the effects below. Until the spell ends, you can activate either effect as a Magic action on your later turns. 
**Sense Thoughts.** You sense the presence of thoughts within 30 feet of yourself that belong to creatures that know languages or are telepathic. You don't read the thoughts, but you know that a thinking creature is present. 
The spell is blocked by 1 foot of stone, dirt, or wood; 1 inch of metal; or a thin sheet of lead. 
**Read Thoughts.** Target one creature you can see within 30 feet of yourself or one creature within 30 feet of yourself that you detected with the Sense Thoughts option. You learn what is most on the target's mind right now. If the target doesn't know any languages and isn't telepathic, you learn nothing. 
As a Magic action on your next turn, you can try to probe deeper into the target's mind. If you probe deeper, the target makes a Wisdom saving throw. On a failed save, you discern the target's reasoning, emotions, and something that looms large in its mind (such as a worry, love, or hate). On a successful save, the spell ends. Either way, the target knows that you are probing into its mind, and until you shift your attention away from the target's mind, the target can take an action on its turn to make an Intelligence (Arcana) check against your spell save DC, ending the spell on a success_x000D_
#Bard #Sorcerer #Wizard</v>
      </c>
      <c r="C99" t="str">
        <f t="shared" si="5"/>
        <v>level 2</v>
      </c>
      <c r="D99" s="1" t="s">
        <v>111</v>
      </c>
      <c r="E99" t="str">
        <f t="shared" si="6"/>
        <v>level 2</v>
      </c>
      <c r="F99" t="str">
        <f t="shared" si="7"/>
        <v>NULL</v>
      </c>
      <c r="G99" t="str">
        <f>_xlfn.TEXTJOIN(" ",TRUE,IF(IFERROR(MATCH(SUBSTITUTE(A99,".md",""),'Bard Spells'!A:A,0),0)&gt;0,"#Bard",""),IF(IFERROR(MATCH(SUBSTITUTE(A99,".md",""),'Cleric Spells'!A:A,0),0)&gt;0,"#Cleric",""),IF(IFERROR(MATCH(SUBSTITUTE(A99,".md",""),'Druid Spells'!A:A,0),0)&gt;0,"#Druid",""),IF(IFERROR(MATCH(SUBSTITUTE(A99,".md",""),'Paladin Spells'!A:A,0),0)&gt;0,"#Paladin",""),IF(IFERROR(MATCH(SUBSTITUTE(A99,".md",""),'Ranger Spells'!A:A,0),0)&gt;0,"#Ranger",""),IF(IFERROR(MATCH(SUBSTITUTE(A99,".md",""),'Sorcerer Spells'!A:A,0),0)&gt;0,"#Sorcerer",""),IF(IFERROR(MATCH(SUBSTITUTE(A99,".md",""),'Warlock Spells'!A:A,0),0)&gt;0,"#Warlock",""),IF(IFERROR(MATCH(SUBSTITUTE(A99,".md",""),'Wizard Spells'!A:A,0),0)&gt;0,"#Wizard",""))</f>
        <v>#Bard #Sorcerer #Wizard</v>
      </c>
    </row>
    <row r="100" spans="1:7" ht="150" x14ac:dyDescent="0.25">
      <c r="A100" t="s">
        <v>112</v>
      </c>
      <c r="B100" s="1" t="str">
        <f t="shared" si="4"/>
        <v>level 4 - #conjuration Casting Time: Action Range: 500 feet Components: V Duration: Instantaneous 
You teleport to a location within range. You arrive at exactly the spot desired. It can be a place you can see, one you can visualize, or one you can describe by stating distance and direction, such as "200 feet straight downward" or "300 feet upward to the northwest at a 45-degree angle." 
You can also teleport one willing creature. The creature must be within 5 feet of you when you teleport, and it teleports to a space within 5 feet of your destination space. 
If you, the other creature, or both would arrive in a space occupied by a creature or completely filled by one or more objects, you and any creature traveling with you each take 4d6 Force damage, and the teleportation fails_x000D_
#Bard #Sorcerer #Warlock #Wizard</v>
      </c>
      <c r="C100" t="str">
        <f t="shared" si="5"/>
        <v>level 4</v>
      </c>
      <c r="D100" s="1" t="s">
        <v>113</v>
      </c>
      <c r="E100" t="str">
        <f t="shared" si="6"/>
        <v>level 4</v>
      </c>
      <c r="F100" t="str">
        <f t="shared" si="7"/>
        <v>NULL</v>
      </c>
      <c r="G100" t="str">
        <f>_xlfn.TEXTJOIN(" ",TRUE,IF(IFERROR(MATCH(SUBSTITUTE(A100,".md",""),'Bard Spells'!A:A,0),0)&gt;0,"#Bard",""),IF(IFERROR(MATCH(SUBSTITUTE(A100,".md",""),'Cleric Spells'!A:A,0),0)&gt;0,"#Cleric",""),IF(IFERROR(MATCH(SUBSTITUTE(A100,".md",""),'Druid Spells'!A:A,0),0)&gt;0,"#Druid",""),IF(IFERROR(MATCH(SUBSTITUTE(A100,".md",""),'Paladin Spells'!A:A,0),0)&gt;0,"#Paladin",""),IF(IFERROR(MATCH(SUBSTITUTE(A100,".md",""),'Ranger Spells'!A:A,0),0)&gt;0,"#Ranger",""),IF(IFERROR(MATCH(SUBSTITUTE(A100,".md",""),'Sorcerer Spells'!A:A,0),0)&gt;0,"#Sorcerer",""),IF(IFERROR(MATCH(SUBSTITUTE(A100,".md",""),'Warlock Spells'!A:A,0),0)&gt;0,"#Warlock",""),IF(IFERROR(MATCH(SUBSTITUTE(A100,".md",""),'Wizard Spells'!A:A,0),0)&gt;0,"#Wizard",""))</f>
        <v>#Bard #Sorcerer #Warlock #Wizard</v>
      </c>
    </row>
    <row r="101" spans="1:7" ht="135" x14ac:dyDescent="0.25">
      <c r="A101" t="s">
        <v>114</v>
      </c>
      <c r="B101" s="1" t="str">
        <f t="shared" si="4"/>
        <v>level 1 - #illusion Casting Time: Action Range: Self Components: V, S Duration: 1 hour 
You make yourselfâ€”including your clothing, armor, weapons, and other belongings on your personâ€”look different until the spell ends. You can seem 1 foot shorter or taller and can appear heavier or lighter. You must adopt a form that has the same basic arrangement of limbs as you have. Otherwise, the extent of the illusion is up to you. 
The changes wrought by this spell fail to hold up to physical inspection. For example, if you use this spell to add a hat to your outfit, objects pass through the hat, and anyone who touches it would feel nothing. 
To discern that you are disguised, a creature must take the Study action to inspect your appearance and succeed on an Intelligence (Investigation) check against your spell save DC_x000D_
#Bard #Sorcerer #Wizard</v>
      </c>
      <c r="C101" t="str">
        <f t="shared" si="5"/>
        <v>level 1</v>
      </c>
      <c r="D101" s="1" t="s">
        <v>115</v>
      </c>
      <c r="E101" t="str">
        <f t="shared" si="6"/>
        <v>level 1</v>
      </c>
      <c r="F101" t="str">
        <f t="shared" si="7"/>
        <v>NULL</v>
      </c>
      <c r="G101" t="str">
        <f>_xlfn.TEXTJOIN(" ",TRUE,IF(IFERROR(MATCH(SUBSTITUTE(A101,".md",""),'Bard Spells'!A:A,0),0)&gt;0,"#Bard",""),IF(IFERROR(MATCH(SUBSTITUTE(A101,".md",""),'Cleric Spells'!A:A,0),0)&gt;0,"#Cleric",""),IF(IFERROR(MATCH(SUBSTITUTE(A101,".md",""),'Druid Spells'!A:A,0),0)&gt;0,"#Druid",""),IF(IFERROR(MATCH(SUBSTITUTE(A101,".md",""),'Paladin Spells'!A:A,0),0)&gt;0,"#Paladin",""),IF(IFERROR(MATCH(SUBSTITUTE(A101,".md",""),'Ranger Spells'!A:A,0),0)&gt;0,"#Ranger",""),IF(IFERROR(MATCH(SUBSTITUTE(A101,".md",""),'Sorcerer Spells'!A:A,0),0)&gt;0,"#Sorcerer",""),IF(IFERROR(MATCH(SUBSTITUTE(A101,".md",""),'Warlock Spells'!A:A,0),0)&gt;0,"#Warlock",""),IF(IFERROR(MATCH(SUBSTITUTE(A101,".md",""),'Wizard Spells'!A:A,0),0)&gt;0,"#Wizard",""))</f>
        <v>#Bard #Sorcerer #Wizard</v>
      </c>
    </row>
    <row r="102" spans="1:7" ht="165" x14ac:dyDescent="0.25">
      <c r="A102" t="s">
        <v>116</v>
      </c>
      <c r="B102" s="1" t="str">
        <f t="shared" si="4"/>
        <v>level 6 - #transmutation Casting Time: Action Range: 60 feet Components: V, S, M (a lodestone and dust) Duration: Instantaneous 
You launch a green ray at a target you can see within range. The target can be a creature, a nonmagical object, or a creation of magical force, such as the wall created by Wall of Force. 
A creature targeted by this spell makes a Dexterity saving throw. On a failed save, the target takes 10d6 + 40 Force damage. If this damage reduces it to 0 Hit Points, it and everything nonmagical it is wearing and carrying are disintegrated into gray dust. The target can be revived only by a True Resurrection or a Wish spell. 
This spell automatically disintegrates a Large or smaller nonmagical object or a creation of magical force. If such a target is Huge or larger, this spell disintegrates a 10-foot-Cube portion of it. 
Using a Higher-Level Spell Slot. The damage increases by 3d6 for each spell slot level above 6_x000D_
#Sorcerer #Wizard</v>
      </c>
      <c r="C102" t="str">
        <f t="shared" si="5"/>
        <v>level 6</v>
      </c>
      <c r="D102" s="1" t="s">
        <v>117</v>
      </c>
      <c r="E102" t="str">
        <f t="shared" si="6"/>
        <v>level 6</v>
      </c>
      <c r="F102" t="str">
        <f t="shared" si="7"/>
        <v>NULL</v>
      </c>
      <c r="G102" t="str">
        <f>_xlfn.TEXTJOIN(" ",TRUE,IF(IFERROR(MATCH(SUBSTITUTE(A102,".md",""),'Bard Spells'!A:A,0),0)&gt;0,"#Bard",""),IF(IFERROR(MATCH(SUBSTITUTE(A102,".md",""),'Cleric Spells'!A:A,0),0)&gt;0,"#Cleric",""),IF(IFERROR(MATCH(SUBSTITUTE(A102,".md",""),'Druid Spells'!A:A,0),0)&gt;0,"#Druid",""),IF(IFERROR(MATCH(SUBSTITUTE(A102,".md",""),'Paladin Spells'!A:A,0),0)&gt;0,"#Paladin",""),IF(IFERROR(MATCH(SUBSTITUTE(A102,".md",""),'Ranger Spells'!A:A,0),0)&gt;0,"#Ranger",""),IF(IFERROR(MATCH(SUBSTITUTE(A102,".md",""),'Sorcerer Spells'!A:A,0),0)&gt;0,"#Sorcerer",""),IF(IFERROR(MATCH(SUBSTITUTE(A102,".md",""),'Warlock Spells'!A:A,0),0)&gt;0,"#Warlock",""),IF(IFERROR(MATCH(SUBSTITUTE(A102,".md",""),'Wizard Spells'!A:A,0),0)&gt;0,"#Wizard",""))</f>
        <v>#Sorcerer #Wizard</v>
      </c>
    </row>
    <row r="103" spans="1:7" ht="150" x14ac:dyDescent="0.25">
      <c r="A103" t="s">
        <v>118</v>
      </c>
      <c r="B103" s="1" t="str">
        <f t="shared" si="4"/>
        <v>level 5 - #abjuration Casting Time: Action Range: Self Components: V, S, M (powdered silver and iron) Duration: #Concentration, up to 1 minute 
For the duration, Celestials, Elementals, Fey, Fiends, and Undead have Disadvantage on attack rolls against you. You can end the spell early by using either of the following special functions. 
**Break Enchantment.** As a Magic action, you touch a creature that is possessed by or has the Charmed or Frightened condition from one or more creatures of the types above. The target is no longer possessed, Charmed, or Frightened by such creatures. 
**Dismissal.** As a Magic action, you target one creature you can see within 5 feet of you that has one of the creature types above. The target must succeed on a Charisma saving throw or be sent back to its home plane if it isn't there already. If they aren't on their home plane, Undead are sent to the Shadowfell, and Fey are sent to the Feywild_x000D_
#Cleric #Paladin</v>
      </c>
      <c r="C103" t="str">
        <f t="shared" si="5"/>
        <v>level 5</v>
      </c>
      <c r="D103" s="1" t="s">
        <v>683</v>
      </c>
      <c r="E103" t="str">
        <f t="shared" si="6"/>
        <v>level 5</v>
      </c>
      <c r="F103" t="str">
        <f t="shared" si="7"/>
        <v>NULL</v>
      </c>
      <c r="G103" t="str">
        <f>_xlfn.TEXTJOIN(" ",TRUE,IF(IFERROR(MATCH(SUBSTITUTE(A103,".md",""),'Bard Spells'!A:A,0),0)&gt;0,"#Bard",""),IF(IFERROR(MATCH(SUBSTITUTE(A103,".md",""),'Cleric Spells'!A:A,0),0)&gt;0,"#Cleric",""),IF(IFERROR(MATCH(SUBSTITUTE(A103,".md",""),'Druid Spells'!A:A,0),0)&gt;0,"#Druid",""),IF(IFERROR(MATCH(SUBSTITUTE(A103,".md",""),'Paladin Spells'!A:A,0),0)&gt;0,"#Paladin",""),IF(IFERROR(MATCH(SUBSTITUTE(A103,".md",""),'Ranger Spells'!A:A,0),0)&gt;0,"#Ranger",""),IF(IFERROR(MATCH(SUBSTITUTE(A103,".md",""),'Sorcerer Spells'!A:A,0),0)&gt;0,"#Sorcerer",""),IF(IFERROR(MATCH(SUBSTITUTE(A103,".md",""),'Warlock Spells'!A:A,0),0)&gt;0,"#Warlock",""),IF(IFERROR(MATCH(SUBSTITUTE(A103,".md",""),'Wizard Spells'!A:A,0),0)&gt;0,"#Wizard",""))</f>
        <v>#Cleric #Paladin</v>
      </c>
    </row>
    <row r="104" spans="1:7" ht="135" x14ac:dyDescent="0.25">
      <c r="A104" t="s">
        <v>119</v>
      </c>
      <c r="B104" s="1" t="str">
        <f t="shared" si="4"/>
        <v>level 3 - #abjuration Casting Time: Action Range: 120 feet Components: V, S Duration: Instantaneous 
Choose one creature, object, or magical effect within range. Any ongoing spell of level 3 or lower on the target ends. For each ongoing spell of level 4 or higher on the target, make an ability check using your spellcasting ability (DC 10 plus that spell's level). On a successful check, the spell ends. 
Using a Higher-Level Spell Slot. You automatically end a spell on the target if the spell's level is equal to or less than the level of the spell slot you use_x000D_
#Bard #Cleric #Druid #Paladin #Ranger #Sorcerer #Warlock #Wizard</v>
      </c>
      <c r="C104" t="str">
        <f t="shared" si="5"/>
        <v>level 3</v>
      </c>
      <c r="D104" s="1" t="s">
        <v>120</v>
      </c>
      <c r="E104" t="str">
        <f t="shared" si="6"/>
        <v>level 3</v>
      </c>
      <c r="F104" t="str">
        <f t="shared" si="7"/>
        <v>NULL</v>
      </c>
      <c r="G104" t="str">
        <f>_xlfn.TEXTJOIN(" ",TRUE,IF(IFERROR(MATCH(SUBSTITUTE(A104,".md",""),'Bard Spells'!A:A,0),0)&gt;0,"#Bard",""),IF(IFERROR(MATCH(SUBSTITUTE(A104,".md",""),'Cleric Spells'!A:A,0),0)&gt;0,"#Cleric",""),IF(IFERROR(MATCH(SUBSTITUTE(A104,".md",""),'Druid Spells'!A:A,0),0)&gt;0,"#Druid",""),IF(IFERROR(MATCH(SUBSTITUTE(A104,".md",""),'Paladin Spells'!A:A,0),0)&gt;0,"#Paladin",""),IF(IFERROR(MATCH(SUBSTITUTE(A104,".md",""),'Ranger Spells'!A:A,0),0)&gt;0,"#Ranger",""),IF(IFERROR(MATCH(SUBSTITUTE(A104,".md",""),'Sorcerer Spells'!A:A,0),0)&gt;0,"#Sorcerer",""),IF(IFERROR(MATCH(SUBSTITUTE(A104,".md",""),'Warlock Spells'!A:A,0),0)&gt;0,"#Warlock",""),IF(IFERROR(MATCH(SUBSTITUTE(A104,".md",""),'Wizard Spells'!A:A,0),0)&gt;0,"#Wizard",""))</f>
        <v>#Bard #Cleric #Druid #Paladin #Ranger #Sorcerer #Warlock #Wizard</v>
      </c>
    </row>
    <row r="105" spans="1:7" ht="135" x14ac:dyDescent="0.25">
      <c r="A105" t="s">
        <v>121</v>
      </c>
      <c r="B105" s="1" t="str">
        <f t="shared" si="4"/>
        <v>level 1 - #enchantment Casting Time: Action Range: 60 feet Components: V Duration: Instantaneous 
One creature of your choice that you can see within range hears a discordant melody in its mind. The target makes a Wisdom saving throw. On a failed save, it takes 3d6 Psychic damage and must immediately use its Reaction, if available, to move as far away from you as it can, using the safest route. On a successful save, the target takes half as much damage only. 
Using a Higher-Level Spell Slot. The damage increases by 1d6 for each spell slot level above 1_x000D_
#Bard</v>
      </c>
      <c r="C105" t="str">
        <f t="shared" si="5"/>
        <v>level 1</v>
      </c>
      <c r="D105" s="1" t="s">
        <v>122</v>
      </c>
      <c r="E105" t="str">
        <f t="shared" si="6"/>
        <v>level 1</v>
      </c>
      <c r="F105" t="str">
        <f t="shared" si="7"/>
        <v>NULL</v>
      </c>
      <c r="G105" t="str">
        <f>_xlfn.TEXTJOIN(" ",TRUE,IF(IFERROR(MATCH(SUBSTITUTE(A105,".md",""),'Bard Spells'!A:A,0),0)&gt;0,"#Bard",""),IF(IFERROR(MATCH(SUBSTITUTE(A105,".md",""),'Cleric Spells'!A:A,0),0)&gt;0,"#Cleric",""),IF(IFERROR(MATCH(SUBSTITUTE(A105,".md",""),'Druid Spells'!A:A,0),0)&gt;0,"#Druid",""),IF(IFERROR(MATCH(SUBSTITUTE(A105,".md",""),'Paladin Spells'!A:A,0),0)&gt;0,"#Paladin",""),IF(IFERROR(MATCH(SUBSTITUTE(A105,".md",""),'Ranger Spells'!A:A,0),0)&gt;0,"#Ranger",""),IF(IFERROR(MATCH(SUBSTITUTE(A105,".md",""),'Sorcerer Spells'!A:A,0),0)&gt;0,"#Sorcerer",""),IF(IFERROR(MATCH(SUBSTITUTE(A105,".md",""),'Warlock Spells'!A:A,0),0)&gt;0,"#Warlock",""),IF(IFERROR(MATCH(SUBSTITUTE(A105,".md",""),'Wizard Spells'!A:A,0),0)&gt;0,"#Wizard",""))</f>
        <v>#Bard</v>
      </c>
    </row>
    <row r="106" spans="1:7" ht="120" x14ac:dyDescent="0.25">
      <c r="A106" t="s">
        <v>123</v>
      </c>
      <c r="B106" s="1" t="str">
        <f t="shared" si="4"/>
        <v>level 4 - #divination ( #ritual ) Casting Time: Action or Ritual Range: Self Components: V, S, M (incense worth 25+ GP, which the spell consumes) Duration: Instantaneous 
This spell puts you in contact with a god or a god's servants. You ask one question about a specific goal, event, or activity to occur within 7 days. The DM offers a truthful reply, which might be a short phrase or cryptic rhyme. The spell doesn't account for circumstances that might change the answer, such as the casting of other spells.
If you cast the spell more than once before finishing a Long Rest, there is a cumulative 25 percent chance for each casting after the first that you get no answer_x000D_
#Cleric #Druid #Wizard</v>
      </c>
      <c r="C106" t="str">
        <f t="shared" si="5"/>
        <v>level 4</v>
      </c>
      <c r="D106" s="1" t="s">
        <v>648</v>
      </c>
      <c r="E106" t="str">
        <f t="shared" si="6"/>
        <v>level 4</v>
      </c>
      <c r="F106" t="str">
        <f t="shared" si="7"/>
        <v>NULL</v>
      </c>
      <c r="G106" t="str">
        <f>_xlfn.TEXTJOIN(" ",TRUE,IF(IFERROR(MATCH(SUBSTITUTE(A106,".md",""),'Bard Spells'!A:A,0),0)&gt;0,"#Bard",""),IF(IFERROR(MATCH(SUBSTITUTE(A106,".md",""),'Cleric Spells'!A:A,0),0)&gt;0,"#Cleric",""),IF(IFERROR(MATCH(SUBSTITUTE(A106,".md",""),'Druid Spells'!A:A,0),0)&gt;0,"#Druid",""),IF(IFERROR(MATCH(SUBSTITUTE(A106,".md",""),'Paladin Spells'!A:A,0),0)&gt;0,"#Paladin",""),IF(IFERROR(MATCH(SUBSTITUTE(A106,".md",""),'Ranger Spells'!A:A,0),0)&gt;0,"#Ranger",""),IF(IFERROR(MATCH(SUBSTITUTE(A106,".md",""),'Sorcerer Spells'!A:A,0),0)&gt;0,"#Sorcerer",""),IF(IFERROR(MATCH(SUBSTITUTE(A106,".md",""),'Warlock Spells'!A:A,0),0)&gt;0,"#Warlock",""),IF(IFERROR(MATCH(SUBSTITUTE(A106,".md",""),'Wizard Spells'!A:A,0),0)&gt;0,"#Wizard",""))</f>
        <v>#Cleric #Druid #Wizard</v>
      </c>
    </row>
    <row r="107" spans="1:7" ht="90" x14ac:dyDescent="0.25">
      <c r="A107" t="s">
        <v>124</v>
      </c>
      <c r="B107" s="1" t="str">
        <f t="shared" si="4"/>
        <v>level 1 - #transmutation Casting Time: #BonusAction Range: Self Components: V, S Duration: 1 minute 
Until the spell ends, your attacks with weapons deal an extra 1d4 Radiant damage on a hit_x000D_
#Paladin</v>
      </c>
      <c r="C107" t="str">
        <f t="shared" si="5"/>
        <v>level 1</v>
      </c>
      <c r="D107" s="1" t="s">
        <v>1158</v>
      </c>
      <c r="E107" t="str">
        <f t="shared" si="6"/>
        <v>level 1</v>
      </c>
      <c r="F107" t="str">
        <f t="shared" si="7"/>
        <v>NULL</v>
      </c>
      <c r="G107" t="str">
        <f>_xlfn.TEXTJOIN(" ",TRUE,IF(IFERROR(MATCH(SUBSTITUTE(A107,".md",""),'Bard Spells'!A:A,0),0)&gt;0,"#Bard",""),IF(IFERROR(MATCH(SUBSTITUTE(A107,".md",""),'Cleric Spells'!A:A,0),0)&gt;0,"#Cleric",""),IF(IFERROR(MATCH(SUBSTITUTE(A107,".md",""),'Druid Spells'!A:A,0),0)&gt;0,"#Druid",""),IF(IFERROR(MATCH(SUBSTITUTE(A107,".md",""),'Paladin Spells'!A:A,0),0)&gt;0,"#Paladin",""),IF(IFERROR(MATCH(SUBSTITUTE(A107,".md",""),'Ranger Spells'!A:A,0),0)&gt;0,"#Ranger",""),IF(IFERROR(MATCH(SUBSTITUTE(A107,".md",""),'Sorcerer Spells'!A:A,0),0)&gt;0,"#Sorcerer",""),IF(IFERROR(MATCH(SUBSTITUTE(A107,".md",""),'Warlock Spells'!A:A,0),0)&gt;0,"#Warlock",""),IF(IFERROR(MATCH(SUBSTITUTE(A107,".md",""),'Wizard Spells'!A:A,0),0)&gt;0,"#Wizard",""))</f>
        <v>#Paladin</v>
      </c>
    </row>
    <row r="108" spans="1:7" ht="120" x14ac:dyDescent="0.25">
      <c r="A108" t="s">
        <v>125</v>
      </c>
      <c r="B108" s="1" t="str">
        <f t="shared" si="4"/>
        <v>level 1 - #evocation Casting Time: #BonusAction, which you take immediately after hitting a target with a Melee weapon or an Unarmed Strike Range: Self Components: V Duration: Instantaneous 
The target takes an extra 2d8 Radiant damage from the attack. The damage increases by 1d8 if the target is a Fiend or an Undead. 
Using a Higher-Level Spell Slot. The damage increases by 1d8 for each spell slot level above 1_x000D_
#Paladin</v>
      </c>
      <c r="C108" t="str">
        <f t="shared" si="5"/>
        <v>level 1</v>
      </c>
      <c r="D108" s="1" t="s">
        <v>1159</v>
      </c>
      <c r="E108" t="str">
        <f t="shared" si="6"/>
        <v>level 1</v>
      </c>
      <c r="F108" t="str">
        <f t="shared" si="7"/>
        <v>NULL</v>
      </c>
      <c r="G108" t="str">
        <f>_xlfn.TEXTJOIN(" ",TRUE,IF(IFERROR(MATCH(SUBSTITUTE(A108,".md",""),'Bard Spells'!A:A,0),0)&gt;0,"#Bard",""),IF(IFERROR(MATCH(SUBSTITUTE(A108,".md",""),'Cleric Spells'!A:A,0),0)&gt;0,"#Cleric",""),IF(IFERROR(MATCH(SUBSTITUTE(A108,".md",""),'Druid Spells'!A:A,0),0)&gt;0,"#Druid",""),IF(IFERROR(MATCH(SUBSTITUTE(A108,".md",""),'Paladin Spells'!A:A,0),0)&gt;0,"#Paladin",""),IF(IFERROR(MATCH(SUBSTITUTE(A108,".md",""),'Ranger Spells'!A:A,0),0)&gt;0,"#Ranger",""),IF(IFERROR(MATCH(SUBSTITUTE(A108,".md",""),'Sorcerer Spells'!A:A,0),0)&gt;0,"#Sorcerer",""),IF(IFERROR(MATCH(SUBSTITUTE(A108,".md",""),'Warlock Spells'!A:A,0),0)&gt;0,"#Warlock",""),IF(IFERROR(MATCH(SUBSTITUTE(A108,".md",""),'Wizard Spells'!A:A,0),0)&gt;0,"#Wizard",""))</f>
        <v>#Paladin</v>
      </c>
    </row>
    <row r="109" spans="1:7" ht="255" x14ac:dyDescent="0.25">
      <c r="A109" t="s">
        <v>126</v>
      </c>
      <c r="B109" s="1" t="str">
        <f t="shared" si="4"/>
        <v>level 7 - #evocation Casting Time: #BonusAction Range: 30 feet Components: V Duration: Instantaneous 
You utter a word imbued with power from the Upper Planes. Each creature of your choice in range makes a Charisma saving throw. On a failed save, a target that has 50 Hit Points or fewer suffers an effect based on its current Hit Points, as shown in the Divine Word Effects table. Regardless of its Hit Points, a Celestial, an Elemental, a Fey, or a Fiend target that fails its save is forced back to its plane of origin (if it isn't there already) and can't return to the current plane for 24 hours by any means short of a Wish spell. 
| Hit Points | Effect                                                                   |
| ---------- | ------------------------------------------------------------------------ |
|            |                                                                          |
| 0â€“20       | The target dies.                                                         |
| 21â€“30      | The target has the Blinded, Deafened, and Stunned conditions for 1 hour. |
| 31â€“40      | The target has the Blinded and Deafened conditions for 10 minutes.       |
| 41â€“50      | The target has the Deafened condition for 1 minute                       |
#Cleric</v>
      </c>
      <c r="C109" t="str">
        <f t="shared" si="5"/>
        <v>level 7</v>
      </c>
      <c r="D109" s="1" t="s">
        <v>1160</v>
      </c>
      <c r="E109" t="str">
        <f t="shared" si="6"/>
        <v>level 7</v>
      </c>
      <c r="F109" t="str">
        <f t="shared" si="7"/>
        <v>NULL</v>
      </c>
      <c r="G109" t="str">
        <f>_xlfn.TEXTJOIN(" ",TRUE,IF(IFERROR(MATCH(SUBSTITUTE(A109,".md",""),'Bard Spells'!A:A,0),0)&gt;0,"#Bard",""),IF(IFERROR(MATCH(SUBSTITUTE(A109,".md",""),'Cleric Spells'!A:A,0),0)&gt;0,"#Cleric",""),IF(IFERROR(MATCH(SUBSTITUTE(A109,".md",""),'Druid Spells'!A:A,0),0)&gt;0,"#Druid",""),IF(IFERROR(MATCH(SUBSTITUTE(A109,".md",""),'Paladin Spells'!A:A,0),0)&gt;0,"#Paladin",""),IF(IFERROR(MATCH(SUBSTITUTE(A109,".md",""),'Ranger Spells'!A:A,0),0)&gt;0,"#Ranger",""),IF(IFERROR(MATCH(SUBSTITUTE(A109,".md",""),'Sorcerer Spells'!A:A,0),0)&gt;0,"#Sorcerer",""),IF(IFERROR(MATCH(SUBSTITUTE(A109,".md",""),'Warlock Spells'!A:A,0),0)&gt;0,"#Warlock",""),IF(IFERROR(MATCH(SUBSTITUTE(A109,".md",""),'Wizard Spells'!A:A,0),0)&gt;0,"#Wizard",""))</f>
        <v>#Cleric</v>
      </c>
    </row>
    <row r="110" spans="1:7" ht="195" x14ac:dyDescent="0.25">
      <c r="A110" t="s">
        <v>127</v>
      </c>
      <c r="B110" s="1" t="str">
        <f t="shared" si="4"/>
        <v>level 4 - #enchantment Casting Time: Action Range: 60 feet Components: V, S Duration: #Concentration, up to 1 minute
One Beast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5 (up to 10 minutes), 6 (up to 1 hour), or 7+ (up to 8 hours)_x000D_
#Druid #Ranger #Sorcerer</v>
      </c>
      <c r="C110" t="str">
        <f t="shared" si="5"/>
        <v>level 4</v>
      </c>
      <c r="D110" s="1" t="s">
        <v>699</v>
      </c>
      <c r="E110" t="str">
        <f t="shared" si="6"/>
        <v>level 4</v>
      </c>
      <c r="F110" t="str">
        <f t="shared" si="7"/>
        <v>NULL</v>
      </c>
      <c r="G110" t="str">
        <f>_xlfn.TEXTJOIN(" ",TRUE,IF(IFERROR(MATCH(SUBSTITUTE(A110,".md",""),'Bard Spells'!A:A,0),0)&gt;0,"#Bard",""),IF(IFERROR(MATCH(SUBSTITUTE(A110,".md",""),'Cleric Spells'!A:A,0),0)&gt;0,"#Cleric",""),IF(IFERROR(MATCH(SUBSTITUTE(A110,".md",""),'Druid Spells'!A:A,0),0)&gt;0,"#Druid",""),IF(IFERROR(MATCH(SUBSTITUTE(A110,".md",""),'Paladin Spells'!A:A,0),0)&gt;0,"#Paladin",""),IF(IFERROR(MATCH(SUBSTITUTE(A110,".md",""),'Ranger Spells'!A:A,0),0)&gt;0,"#Ranger",""),IF(IFERROR(MATCH(SUBSTITUTE(A110,".md",""),'Sorcerer Spells'!A:A,0),0)&gt;0,"#Sorcerer",""),IF(IFERROR(MATCH(SUBSTITUTE(A110,".md",""),'Warlock Spells'!A:A,0),0)&gt;0,"#Warlock",""),IF(IFERROR(MATCH(SUBSTITUTE(A110,".md",""),'Wizard Spells'!A:A,0),0)&gt;0,"#Wizard",""))</f>
        <v>#Druid #Ranger #Sorcerer</v>
      </c>
    </row>
    <row r="111" spans="1:7" ht="195" x14ac:dyDescent="0.25">
      <c r="A111" t="s">
        <v>128</v>
      </c>
      <c r="B111" s="1" t="str">
        <f t="shared" si="4"/>
        <v>level 8 - #enchantment Casting Time: Action Range: 60 feet Components: V, S Duration: #Concentration, up to 1 hour 
One creature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level 9 spell slot (up to 8 hours)._x000D_
#Bard #Sorcerer #Warlock #Wizard</v>
      </c>
      <c r="C111" t="str">
        <f t="shared" si="5"/>
        <v>level 8</v>
      </c>
      <c r="D111" s="1" t="s">
        <v>700</v>
      </c>
      <c r="E111" t="str">
        <f t="shared" si="6"/>
        <v>level 8</v>
      </c>
      <c r="F111" t="str">
        <f t="shared" si="7"/>
        <v>NULL</v>
      </c>
      <c r="G111" t="str">
        <f>_xlfn.TEXTJOIN(" ",TRUE,IF(IFERROR(MATCH(SUBSTITUTE(A111,".md",""),'Bard Spells'!A:A,0),0)&gt;0,"#Bard",""),IF(IFERROR(MATCH(SUBSTITUTE(A111,".md",""),'Cleric Spells'!A:A,0),0)&gt;0,"#Cleric",""),IF(IFERROR(MATCH(SUBSTITUTE(A111,".md",""),'Druid Spells'!A:A,0),0)&gt;0,"#Druid",""),IF(IFERROR(MATCH(SUBSTITUTE(A111,".md",""),'Paladin Spells'!A:A,0),0)&gt;0,"#Paladin",""),IF(IFERROR(MATCH(SUBSTITUTE(A111,".md",""),'Ranger Spells'!A:A,0),0)&gt;0,"#Ranger",""),IF(IFERROR(MATCH(SUBSTITUTE(A111,".md",""),'Sorcerer Spells'!A:A,0),0)&gt;0,"#Sorcerer",""),IF(IFERROR(MATCH(SUBSTITUTE(A111,".md",""),'Warlock Spells'!A:A,0),0)&gt;0,"#Warlock",""),IF(IFERROR(MATCH(SUBSTITUTE(A111,".md",""),'Wizard Spells'!A:A,0),0)&gt;0,"#Wizard",""))</f>
        <v>#Bard #Sorcerer #Warlock #Wizard</v>
      </c>
    </row>
    <row r="112" spans="1:7" ht="195" x14ac:dyDescent="0.25">
      <c r="A112" t="s">
        <v>129</v>
      </c>
      <c r="B112" s="1" t="str">
        <f t="shared" si="4"/>
        <v>level 5 - #enchantment Casting Time: Action Range: 60 feet Components: V, S Duration: #Concentration, up to 1 minute 
One Humanoid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6 (up to 10 minutes), 7 (up to 1 hour), or 8+ (up to 8 hours)._x000D_
#Bard #Sorcerer #Wizard</v>
      </c>
      <c r="C112" t="str">
        <f t="shared" si="5"/>
        <v>level 5</v>
      </c>
      <c r="D112" s="1" t="s">
        <v>684</v>
      </c>
      <c r="E112" t="str">
        <f t="shared" si="6"/>
        <v>level 5</v>
      </c>
      <c r="F112" t="str">
        <f t="shared" si="7"/>
        <v>NULL</v>
      </c>
      <c r="G112" t="str">
        <f>_xlfn.TEXTJOIN(" ",TRUE,IF(IFERROR(MATCH(SUBSTITUTE(A112,".md",""),'Bard Spells'!A:A,0),0)&gt;0,"#Bard",""),IF(IFERROR(MATCH(SUBSTITUTE(A112,".md",""),'Cleric Spells'!A:A,0),0)&gt;0,"#Cleric",""),IF(IFERROR(MATCH(SUBSTITUTE(A112,".md",""),'Druid Spells'!A:A,0),0)&gt;0,"#Druid",""),IF(IFERROR(MATCH(SUBSTITUTE(A112,".md",""),'Paladin Spells'!A:A,0),0)&gt;0,"#Paladin",""),IF(IFERROR(MATCH(SUBSTITUTE(A112,".md",""),'Ranger Spells'!A:A,0),0)&gt;0,"#Ranger",""),IF(IFERROR(MATCH(SUBSTITUTE(A112,".md",""),'Sorcerer Spells'!A:A,0),0)&gt;0,"#Sorcerer",""),IF(IFERROR(MATCH(SUBSTITUTE(A112,".md",""),'Warlock Spells'!A:A,0),0)&gt;0,"#Warlock",""),IF(IFERROR(MATCH(SUBSTITUTE(A112,".md",""),'Wizard Spells'!A:A,0),0)&gt;0,"#Wizard",""))</f>
        <v>#Bard #Sorcerer #Wizard</v>
      </c>
    </row>
    <row r="113" spans="1:7" ht="135" x14ac:dyDescent="0.25">
      <c r="A113" t="s">
        <v>130</v>
      </c>
      <c r="B113" s="1" t="str">
        <f t="shared" si="4"/>
        <v>level 2 - #transmutation Casting Time: #BonusAction Range: Touch Components: V, S, M (a hot pepper) Duration: #Concentration, up to 1 minute 
You touch one willing creature, and choose Acid, Cold, Fire, Lightning, or Poison. Until the spell ends, the target can take a Magic action to exhale a 15-foot Cone. Each creature in that area makes a Dexterity saving throw, taking 3d6 damage of the chosen type on a failed save or half as much damage on a successful one. 
Using a Higher-Level Spell Slot. The damage increases by 1d6 for each spell slot level above 2._x000D_
#Sorcerer #Wizard</v>
      </c>
      <c r="C113" t="str">
        <f t="shared" si="5"/>
        <v>level 2</v>
      </c>
      <c r="D113" s="1" t="s">
        <v>1161</v>
      </c>
      <c r="E113" t="str">
        <f t="shared" si="6"/>
        <v>level 2</v>
      </c>
      <c r="F113" t="str">
        <f t="shared" si="7"/>
        <v>NULL</v>
      </c>
      <c r="G113" t="str">
        <f>_xlfn.TEXTJOIN(" ",TRUE,IF(IFERROR(MATCH(SUBSTITUTE(A113,".md",""),'Bard Spells'!A:A,0),0)&gt;0,"#Bard",""),IF(IFERROR(MATCH(SUBSTITUTE(A113,".md",""),'Cleric Spells'!A:A,0),0)&gt;0,"#Cleric",""),IF(IFERROR(MATCH(SUBSTITUTE(A113,".md",""),'Druid Spells'!A:A,0),0)&gt;0,"#Druid",""),IF(IFERROR(MATCH(SUBSTITUTE(A113,".md",""),'Paladin Spells'!A:A,0),0)&gt;0,"#Paladin",""),IF(IFERROR(MATCH(SUBSTITUTE(A113,".md",""),'Ranger Spells'!A:A,0),0)&gt;0,"#Ranger",""),IF(IFERROR(MATCH(SUBSTITUTE(A113,".md",""),'Sorcerer Spells'!A:A,0),0)&gt;0,"#Sorcerer",""),IF(IFERROR(MATCH(SUBSTITUTE(A113,".md",""),'Warlock Spells'!A:A,0),0)&gt;0,"#Warlock",""),IF(IFERROR(MATCH(SUBSTITUTE(A113,".md",""),'Wizard Spells'!A:A,0),0)&gt;0,"#Wizard",""))</f>
        <v>#Sorcerer #Wizard</v>
      </c>
    </row>
    <row r="114" spans="1:7" ht="90" x14ac:dyDescent="0.25">
      <c r="A114" t="s">
        <v>131</v>
      </c>
      <c r="B114" s="1" t="str">
        <f t="shared" si="4"/>
        <v>level 6 - #conjuration ( #ritual )  Casting Time: 1 minute or Ritual Range: Touch Components: V, S, M (a sapphire worth 1,000+ GP) Duration: Until dispelled 
Description not available (not OGL)_x000D_
#Wizard</v>
      </c>
      <c r="C114" t="str">
        <f t="shared" si="5"/>
        <v>level 6</v>
      </c>
      <c r="D114" s="1" t="s">
        <v>132</v>
      </c>
      <c r="E114" t="str">
        <f t="shared" si="6"/>
        <v>level 6</v>
      </c>
      <c r="F114" t="str">
        <f t="shared" si="7"/>
        <v>NULL</v>
      </c>
      <c r="G114" t="str">
        <f>_xlfn.TEXTJOIN(" ",TRUE,IF(IFERROR(MATCH(SUBSTITUTE(A114,".md",""),'Bard Spells'!A:A,0),0)&gt;0,"#Bard",""),IF(IFERROR(MATCH(SUBSTITUTE(A114,".md",""),'Cleric Spells'!A:A,0),0)&gt;0,"#Cleric",""),IF(IFERROR(MATCH(SUBSTITUTE(A114,".md",""),'Druid Spells'!A:A,0),0)&gt;0,"#Druid",""),IF(IFERROR(MATCH(SUBSTITUTE(A114,".md",""),'Paladin Spells'!A:A,0),0)&gt;0,"#Paladin",""),IF(IFERROR(MATCH(SUBSTITUTE(A114,".md",""),'Ranger Spells'!A:A,0),0)&gt;0,"#Ranger",""),IF(IFERROR(MATCH(SUBSTITUTE(A114,".md",""),'Sorcerer Spells'!A:A,0),0)&gt;0,"#Sorcerer",""),IF(IFERROR(MATCH(SUBSTITUTE(A114,".md",""),'Warlock Spells'!A:A,0),0)&gt;0,"#Warlock",""),IF(IFERROR(MATCH(SUBSTITUTE(A114,".md",""),'Wizard Spells'!A:A,0),0)&gt;0,"#Wizard",""))</f>
        <v>#Wizard</v>
      </c>
    </row>
    <row r="115" spans="1:7" ht="180" x14ac:dyDescent="0.25">
      <c r="A115" t="s">
        <v>133</v>
      </c>
      <c r="B115" s="1" t="str">
        <f t="shared" si="4"/>
        <v>level 5 - #illusion Casting Time: 1 minute Range: Special Components: V, S, M (a handful of sand) Duration: 8 hours 
You target a creature you know on the same plane of existence. You or a willing creature you touch enters a trance state to act as a dream messenger. While in the trance, the messenger is Incapacitated and has a Speed of 0. 
If the target is asleep, the messenger appears in the target's dreams and can converse with the target as long as it remains asleep, through the spell's duration. The messenger can also shape the dream's environment, creating landscapes, objects, and other images. The messenger can emerge from the trance at any time, ending the spell. The target recalls the dream perfectly upon waking. 
If the target is awake when you cast the spell, the messenger knows it and can either end the trance (and the spell) or wait for the target to sleep, at which point the messenger enters its dreams. You can make the messenger terrifying to the target. If you do so, the messenger can deliver a message of no more than ten words, and then the target makes a Wisdom saving throw. On a failed save, the target gains no benefit from its rest, and it takes 3d6 Psychic damage when it wakes up._x000D_
#Bard #Warlock #Wizard</v>
      </c>
      <c r="C115" t="str">
        <f t="shared" si="5"/>
        <v>level 5</v>
      </c>
      <c r="D115" s="1" t="s">
        <v>636</v>
      </c>
      <c r="E115" t="str">
        <f t="shared" si="6"/>
        <v>level 5</v>
      </c>
      <c r="F115" t="str">
        <f t="shared" si="7"/>
        <v>NULL</v>
      </c>
      <c r="G115" t="str">
        <f>_xlfn.TEXTJOIN(" ",TRUE,IF(IFERROR(MATCH(SUBSTITUTE(A115,".md",""),'Bard Spells'!A:A,0),0)&gt;0,"#Bard",""),IF(IFERROR(MATCH(SUBSTITUTE(A115,".md",""),'Cleric Spells'!A:A,0),0)&gt;0,"#Cleric",""),IF(IFERROR(MATCH(SUBSTITUTE(A115,".md",""),'Druid Spells'!A:A,0),0)&gt;0,"#Druid",""),IF(IFERROR(MATCH(SUBSTITUTE(A115,".md",""),'Paladin Spells'!A:A,0),0)&gt;0,"#Paladin",""),IF(IFERROR(MATCH(SUBSTITUTE(A115,".md",""),'Ranger Spells'!A:A,0),0)&gt;0,"#Ranger",""),IF(IFERROR(MATCH(SUBSTITUTE(A115,".md",""),'Sorcerer Spells'!A:A,0),0)&gt;0,"#Sorcerer",""),IF(IFERROR(MATCH(SUBSTITUTE(A115,".md",""),'Warlock Spells'!A:A,0),0)&gt;0,"#Warlock",""),IF(IFERROR(MATCH(SUBSTITUTE(A115,".md",""),'Wizard Spells'!A:A,0),0)&gt;0,"#Wizard",""))</f>
        <v>#Bard #Warlock #Wizard</v>
      </c>
    </row>
    <row r="116" spans="1:7" ht="150" x14ac:dyDescent="0.25">
      <c r="A116" t="s">
        <v>134</v>
      </c>
      <c r="B116" s="1" t="str">
        <f t="shared" si="4"/>
        <v>level 0 - #transmutation Casting Time: Action Range: 30 feet Components: V, S Duration: Instantaneous 
**Weather Sensor.** You create a Tiny, harmless sensory effect that predicts what the weather will be at your location for the next 24 hours. The effect might manifest as a golden orb for clear skies, a cloud for rain, falling snowflakes for snow, and so on. This effect persists for 1 round. 
**Bloom.** You instantly make a flower blossom, a seed pod open, or a leaf bud bloom. 
**Sensory Effect.** You create a harmless sensory effect, such as falling leaves, spectral dancing fairies, a gentle breeze, the sound of an animal, or the faint odor of skunk. The effect must fit in a 5-foot Cube. 
**Fire Play.** You light or snuff out a candle, a torch, or a campfire.
#Druid</v>
      </c>
      <c r="C116" t="str">
        <f t="shared" si="5"/>
        <v>level 0</v>
      </c>
      <c r="D116" s="1" t="s">
        <v>1215</v>
      </c>
      <c r="E116" t="str">
        <f t="shared" si="6"/>
        <v>level 0</v>
      </c>
      <c r="F116" t="str">
        <f t="shared" si="7"/>
        <v>NULL</v>
      </c>
      <c r="G116" t="str">
        <f>_xlfn.TEXTJOIN(" ",TRUE,IF(IFERROR(MATCH(SUBSTITUTE(A116,".md",""),'Bard Spells'!A:A,0),0)&gt;0,"#Bard",""),IF(IFERROR(MATCH(SUBSTITUTE(A116,".md",""),'Cleric Spells'!A:A,0),0)&gt;0,"#Cleric",""),IF(IFERROR(MATCH(SUBSTITUTE(A116,".md",""),'Druid Spells'!A:A,0),0)&gt;0,"#Druid",""),IF(IFERROR(MATCH(SUBSTITUTE(A116,".md",""),'Paladin Spells'!A:A,0),0)&gt;0,"#Paladin",""),IF(IFERROR(MATCH(SUBSTITUTE(A116,".md",""),'Ranger Spells'!A:A,0),0)&gt;0,"#Ranger",""),IF(IFERROR(MATCH(SUBSTITUTE(A116,".md",""),'Sorcerer Spells'!A:A,0),0)&gt;0,"#Sorcerer",""),IF(IFERROR(MATCH(SUBSTITUTE(A116,".md",""),'Warlock Spells'!A:A,0),0)&gt;0,"#Warlock",""),IF(IFERROR(MATCH(SUBSTITUTE(A116,".md",""),'Wizard Spells'!A:A,0),0)&gt;0,"#Wizard",""))</f>
        <v>#Druid</v>
      </c>
    </row>
    <row r="117" spans="1:7" ht="225" x14ac:dyDescent="0.25">
      <c r="A117" t="s">
        <v>135</v>
      </c>
      <c r="B117" s="1" t="str">
        <f t="shared" si="4"/>
        <v>level 8 - #transmutation Casting Time: Action Range: 500 feet Components: V, S, M (a fractured rock) Duration: #Concentration, up to 1 minute 
Choose a point on the ground that you can see within range. For the duration, an intense tremor rips through the ground in a 100- foot-radius circle centered on that point. The ground there is Difficult Terrain. 
When you cast this spell and at the end of each of your turns for the duration, each creature on the ground in the area makes a Dexterity saving throw. On a failed save, a creature has the Prone condition, and its #Concentration is broken. You can also cause the effects below. 
**Fissures.** A total of 1d6 fissures open in the spell's area at the end of the turn you cast it. You choose the fissures' locations, which can't be under structures. Each fissure is 1d10 x 10 feet deep and 10 feet wide, and it extends from one edge of the spell's area to another edge. A creature in the same space as a fissure must succeed on a Dexterity saving throw or fall in. A creature that successfully saves moves with the fissure's edge as it opens. 
**Structures.** The tremor deals 50 Bludgeoning damage to any structure in contact with the ground in the area when you cast the spell and at the end of each of your turns until the spell ends. If a structure drops to 0 Hit Points, it collapses. 
A creature within a distance from a collapsing structure equal to half the structure's height makes a Dexterity saving throw. On a failed save, the creature takes 12d6 Bludgeoning damage, has the Prone condition, and is buried in the rubble, requiring a DC 20 Strength (Athletics) check as an action to escape. On a successful save, the creature takes half as much damage only._x000D_
#Cleric #Druid #Sorcerer</v>
      </c>
      <c r="C117" t="str">
        <f t="shared" si="5"/>
        <v>level 8</v>
      </c>
      <c r="D117" s="1" t="s">
        <v>701</v>
      </c>
      <c r="E117" t="str">
        <f t="shared" si="6"/>
        <v>level 8</v>
      </c>
      <c r="F117" t="str">
        <f t="shared" si="7"/>
        <v>NULL</v>
      </c>
      <c r="G117" t="str">
        <f>_xlfn.TEXTJOIN(" ",TRUE,IF(IFERROR(MATCH(SUBSTITUTE(A117,".md",""),'Bard Spells'!A:A,0),0)&gt;0,"#Bard",""),IF(IFERROR(MATCH(SUBSTITUTE(A117,".md",""),'Cleric Spells'!A:A,0),0)&gt;0,"#Cleric",""),IF(IFERROR(MATCH(SUBSTITUTE(A117,".md",""),'Druid Spells'!A:A,0),0)&gt;0,"#Druid",""),IF(IFERROR(MATCH(SUBSTITUTE(A117,".md",""),'Paladin Spells'!A:A,0),0)&gt;0,"#Paladin",""),IF(IFERROR(MATCH(SUBSTITUTE(A117,".md",""),'Ranger Spells'!A:A,0),0)&gt;0,"#Ranger",""),IF(IFERROR(MATCH(SUBSTITUTE(A117,".md",""),'Sorcerer Spells'!A:A,0),0)&gt;0,"#Sorcerer",""),IF(IFERROR(MATCH(SUBSTITUTE(A117,".md",""),'Warlock Spells'!A:A,0),0)&gt;0,"#Warlock",""),IF(IFERROR(MATCH(SUBSTITUTE(A117,".md",""),'Wizard Spells'!A:A,0),0)&gt;0,"#Wizard",""))</f>
        <v>#Cleric #Druid #Sorcerer</v>
      </c>
    </row>
    <row r="118" spans="1:7" ht="120" x14ac:dyDescent="0.25">
      <c r="A118" t="s">
        <v>136</v>
      </c>
      <c r="B118" s="1" t="str">
        <f t="shared" si="4"/>
        <v>level 0 - #evocation Casting Time: Action Range: 120 feet Components: V, S Duration: Instantaneous 
You hurl a beam of crackling energy. Make a ranged spell attack against one creature or object in range. On a hit, the target takes 1d10 Force damage. 
**Cantrip Upgrade.** The spell creates two beams at level 5, three beams at level 11, and four beams at level 17. You can direct the beams at the same target or at different ones. Make a separate attack roll for each beam
#Warlock</v>
      </c>
      <c r="C118" t="str">
        <f t="shared" si="5"/>
        <v>level 0</v>
      </c>
      <c r="D118" s="1" t="s">
        <v>1216</v>
      </c>
      <c r="E118" t="str">
        <f t="shared" si="6"/>
        <v>level 0</v>
      </c>
      <c r="F118" t="str">
        <f t="shared" si="7"/>
        <v>NULL</v>
      </c>
      <c r="G118" t="str">
        <f>_xlfn.TEXTJOIN(" ",TRUE,IF(IFERROR(MATCH(SUBSTITUTE(A118,".md",""),'Bard Spells'!A:A,0),0)&gt;0,"#Bard",""),IF(IFERROR(MATCH(SUBSTITUTE(A118,".md",""),'Cleric Spells'!A:A,0),0)&gt;0,"#Cleric",""),IF(IFERROR(MATCH(SUBSTITUTE(A118,".md",""),'Druid Spells'!A:A,0),0)&gt;0,"#Druid",""),IF(IFERROR(MATCH(SUBSTITUTE(A118,".md",""),'Paladin Spells'!A:A,0),0)&gt;0,"#Paladin",""),IF(IFERROR(MATCH(SUBSTITUTE(A118,".md",""),'Ranger Spells'!A:A,0),0)&gt;0,"#Ranger",""),IF(IFERROR(MATCH(SUBSTITUTE(A118,".md",""),'Sorcerer Spells'!A:A,0),0)&gt;0,"#Sorcerer",""),IF(IFERROR(MATCH(SUBSTITUTE(A118,".md",""),'Warlock Spells'!A:A,0),0)&gt;0,"#Warlock",""),IF(IFERROR(MATCH(SUBSTITUTE(A118,".md",""),'Wizard Spells'!A:A,0),0)&gt;0,"#Wizard",""))</f>
        <v>#Warlock</v>
      </c>
    </row>
    <row r="119" spans="1:7" ht="150" x14ac:dyDescent="0.25">
      <c r="A119" t="s">
        <v>137</v>
      </c>
      <c r="B119" s="1" t="str">
        <f t="shared" si="4"/>
        <v>level 3 - #transmutation Casting Time: Action Range: Touch Components: V, S Duration: #Concentration, up to 1 hour 
A nonmagical weapon you touch becomes a magic weapon. Choose one of the following damage types: Acid, Cold, Fire, Lightning, or Thunder. For the duration, the weapon has a +1 bonus to attack rolls and deals an extra 1d4 damage of the chosen type when it hits. 
Using a Higher-Level Spell Slot. If you use a level 5-6 spell slot, the bonus to attack rolls increases to +2, and the extra damage increases to 2d4. If you use a level 7+ spell slot, the bonus increases to +3, and the extra damage increases to 3d4_x000D_
#Druid #Paladin #Ranger</v>
      </c>
      <c r="C119" t="str">
        <f t="shared" si="5"/>
        <v>level 3</v>
      </c>
      <c r="D119" s="1" t="s">
        <v>138</v>
      </c>
      <c r="E119" t="str">
        <f t="shared" si="6"/>
        <v>level 3</v>
      </c>
      <c r="F119" t="str">
        <f t="shared" si="7"/>
        <v>NULL</v>
      </c>
      <c r="G119" t="str">
        <f>_xlfn.TEXTJOIN(" ",TRUE,IF(IFERROR(MATCH(SUBSTITUTE(A119,".md",""),'Bard Spells'!A:A,0),0)&gt;0,"#Bard",""),IF(IFERROR(MATCH(SUBSTITUTE(A119,".md",""),'Cleric Spells'!A:A,0),0)&gt;0,"#Cleric",""),IF(IFERROR(MATCH(SUBSTITUTE(A119,".md",""),'Druid Spells'!A:A,0),0)&gt;0,"#Druid",""),IF(IFERROR(MATCH(SUBSTITUTE(A119,".md",""),'Paladin Spells'!A:A,0),0)&gt;0,"#Paladin",""),IF(IFERROR(MATCH(SUBSTITUTE(A119,".md",""),'Ranger Spells'!A:A,0),0)&gt;0,"#Ranger",""),IF(IFERROR(MATCH(SUBSTITUTE(A119,".md",""),'Sorcerer Spells'!A:A,0),0)&gt;0,"#Sorcerer",""),IF(IFERROR(MATCH(SUBSTITUTE(A119,".md",""),'Warlock Spells'!A:A,0),0)&gt;0,"#Warlock",""),IF(IFERROR(MATCH(SUBSTITUTE(A119,".md",""),'Wizard Spells'!A:A,0),0)&gt;0,"#Wizard",""))</f>
        <v>#Druid #Paladin #Ranger</v>
      </c>
    </row>
    <row r="120" spans="1:7" ht="210" x14ac:dyDescent="0.25">
      <c r="A120" t="s">
        <v>139</v>
      </c>
      <c r="B120" s="1" t="str">
        <f t="shared" si="4"/>
        <v>level 0 - #transmutation Casting Time: Action Range: 30 feet Components: V, S Duration: Instantaneous 
You exert control over the elements, creating one of the following effects within range: 
**Beckon Air.** You create a breeze strong enough to ripple cloth, stir dust, rustle leaves, and close open doors and shutters, all in a 5-foot Cube. Doors and shutters being held open by someone or something aren't affected. 
**Beckon Earth.** You create a thin shroud of dust or sand that covers surfaces in a 5-foot-square area, or you cause a single word to appear in your handwriting in a patch of dirt or sand. 
**Beckon Fire.** You create a thin cloud of harmless embers and colored, scented smoke in a 5-foot Cube. You choose the color and scent, and the embers can light candles, torches, or lamps in that area. The smoke's scent lingers for 1 minute. 
**Beckon Water.** You create a spray of cool mist that lightly dampens creatures and objects in a 5-foot Cube. Alternatively, you create 1 cup of clean water either in an open container or on a surface, and the water evaporates in 1 minute. 
**Sculpt Element.** You cause dirt, sand, fire, smoke, mist, or water that can fit in a 1-foot Cube to assume a crude shape (such as that of a creature or an object) for 1 hour._x000D_
#Druid #Sorcerer #Wizard</v>
      </c>
      <c r="C120" t="str">
        <f t="shared" si="5"/>
        <v>level 0</v>
      </c>
      <c r="D120" s="1" t="s">
        <v>140</v>
      </c>
      <c r="E120" t="str">
        <f t="shared" si="6"/>
        <v>level 0</v>
      </c>
      <c r="F120" t="str">
        <f t="shared" si="7"/>
        <v>NULL</v>
      </c>
      <c r="G120" t="str">
        <f>_xlfn.TEXTJOIN(" ",TRUE,IF(IFERROR(MATCH(SUBSTITUTE(A120,".md",""),'Bard Spells'!A:A,0),0)&gt;0,"#Bard",""),IF(IFERROR(MATCH(SUBSTITUTE(A120,".md",""),'Cleric Spells'!A:A,0),0)&gt;0,"#Cleric",""),IF(IFERROR(MATCH(SUBSTITUTE(A120,".md",""),'Druid Spells'!A:A,0),0)&gt;0,"#Druid",""),IF(IFERROR(MATCH(SUBSTITUTE(A120,".md",""),'Paladin Spells'!A:A,0),0)&gt;0,"#Paladin",""),IF(IFERROR(MATCH(SUBSTITUTE(A120,".md",""),'Ranger Spells'!A:A,0),0)&gt;0,"#Ranger",""),IF(IFERROR(MATCH(SUBSTITUTE(A120,".md",""),'Sorcerer Spells'!A:A,0),0)&gt;0,"#Sorcerer",""),IF(IFERROR(MATCH(SUBSTITUTE(A120,".md",""),'Warlock Spells'!A:A,0),0)&gt;0,"#Warlock",""),IF(IFERROR(MATCH(SUBSTITUTE(A120,".md",""),'Wizard Spells'!A:A,0),0)&gt;0,"#Wizard",""))</f>
        <v>#Druid #Sorcerer #Wizard</v>
      </c>
    </row>
    <row r="121" spans="1:7" ht="120" x14ac:dyDescent="0.25">
      <c r="A121" t="s">
        <v>141</v>
      </c>
      <c r="B121" s="1" t="str">
        <f t="shared" si="4"/>
        <v>level 2 - #transmutation Casting Time: Action Range: Touch Components: V, S, M (fur or a feather) Duration: #Concentration, up to 1 hour 
You touch a creature and choose Strength, Dexterity, Intelligence, Wisdom, or Charisma. For the duration, the target has Advantage on ability checks using the chosen ability. 
Using a Higher-Level Spell Slot. You can target one additional creature for each spell slot level above 2. You can choose a different ability for each target_x000D_
#Bard #Cleric #Druid #Ranger #Sorcerer #Wizard</v>
      </c>
      <c r="C121" t="str">
        <f t="shared" si="5"/>
        <v>level 2</v>
      </c>
      <c r="D121" s="1" t="s">
        <v>142</v>
      </c>
      <c r="E121" t="str">
        <f t="shared" si="6"/>
        <v>level 2</v>
      </c>
      <c r="F121" t="str">
        <f t="shared" si="7"/>
        <v>NULL</v>
      </c>
      <c r="G121" t="str">
        <f>_xlfn.TEXTJOIN(" ",TRUE,IF(IFERROR(MATCH(SUBSTITUTE(A121,".md",""),'Bard Spells'!A:A,0),0)&gt;0,"#Bard",""),IF(IFERROR(MATCH(SUBSTITUTE(A121,".md",""),'Cleric Spells'!A:A,0),0)&gt;0,"#Cleric",""),IF(IFERROR(MATCH(SUBSTITUTE(A121,".md",""),'Druid Spells'!A:A,0),0)&gt;0,"#Druid",""),IF(IFERROR(MATCH(SUBSTITUTE(A121,".md",""),'Paladin Spells'!A:A,0),0)&gt;0,"#Paladin",""),IF(IFERROR(MATCH(SUBSTITUTE(A121,".md",""),'Ranger Spells'!A:A,0),0)&gt;0,"#Ranger",""),IF(IFERROR(MATCH(SUBSTITUTE(A121,".md",""),'Sorcerer Spells'!A:A,0),0)&gt;0,"#Sorcerer",""),IF(IFERROR(MATCH(SUBSTITUTE(A121,".md",""),'Warlock Spells'!A:A,0),0)&gt;0,"#Warlock",""),IF(IFERROR(MATCH(SUBSTITUTE(A121,".md",""),'Wizard Spells'!A:A,0),0)&gt;0,"#Wizard",""))</f>
        <v>#Bard #Cleric #Druid #Ranger #Sorcerer #Wizard</v>
      </c>
    </row>
    <row r="122" spans="1:7" ht="195" x14ac:dyDescent="0.25">
      <c r="A122" t="s">
        <v>143</v>
      </c>
      <c r="B122" s="1" t="str">
        <f t="shared" si="4"/>
        <v xml:space="preserve">level 2 - #transmutation Casting Time: Action Range: 30 feet Components: V, S, M (a pinch of powdered iron) Duration: #Concentration, up to 1 minute 
For the duration, the spell enlarges or reduces a creature or an object you can see within range (see the chosen effect below). A targeted object must be neither worn nor carried. If the target is an unwilling creature, it can make a Constitution saving throw. On a successful save, the spell has no effect. 
Everything that a targeted creature is wearing and carrying changes size with it. Any item it drops returns to normal size at once. A thrown weapon or piece of ammunition returns to normal size immediately after it hits or misses a target. 
**Enlarge.** The target's size increases by one categoryâ€”from Medium to Large, for example. The target also has Advantage on Strength checks and Strength saving throws. The target's attacks with its enlarged weapons or Unarmed Strikes deal an extra 1d4 damage on a hit. 
**Reduce.** The target's size decreases by one categoryâ€”from Medium to Small, for example. The target also has Disadvantage on Strength checks and Strength saving throws. The target's attacks with its reduced weapons or Unarmed Strikes deal 1d4 less damage on a hit (this can't reduce the damage below 1)_x000D_
</v>
      </c>
      <c r="C122" t="str">
        <f t="shared" si="5"/>
        <v>level 2</v>
      </c>
      <c r="D122" s="1" t="s">
        <v>144</v>
      </c>
      <c r="E122" t="str">
        <f t="shared" si="6"/>
        <v>level 2</v>
      </c>
      <c r="F122" t="str">
        <f t="shared" si="7"/>
        <v>NULL</v>
      </c>
      <c r="G122" t="str">
        <f>_xlfn.TEXTJOIN(" ",TRUE,IF(IFERROR(MATCH(SUBSTITUTE(A122,".md",""),'Bard Spells'!A:A,0),0)&gt;0,"#Bard",""),IF(IFERROR(MATCH(SUBSTITUTE(A122,".md",""),'Cleric Spells'!A:A,0),0)&gt;0,"#Cleric",""),IF(IFERROR(MATCH(SUBSTITUTE(A122,".md",""),'Druid Spells'!A:A,0),0)&gt;0,"#Druid",""),IF(IFERROR(MATCH(SUBSTITUTE(A122,".md",""),'Paladin Spells'!A:A,0),0)&gt;0,"#Paladin",""),IF(IFERROR(MATCH(SUBSTITUTE(A122,".md",""),'Ranger Spells'!A:A,0),0)&gt;0,"#Ranger",""),IF(IFERROR(MATCH(SUBSTITUTE(A122,".md",""),'Sorcerer Spells'!A:A,0),0)&gt;0,"#Sorcerer",""),IF(IFERROR(MATCH(SUBSTITUTE(A122,".md",""),'Warlock Spells'!A:A,0),0)&gt;0,"#Warlock",""),IF(IFERROR(MATCH(SUBSTITUTE(A122,".md",""),'Wizard Spells'!A:A,0),0)&gt;0,"#Wizard",""))</f>
        <v/>
      </c>
    </row>
    <row r="123" spans="1:7" ht="165" x14ac:dyDescent="0.25">
      <c r="A123" t="s">
        <v>145</v>
      </c>
      <c r="B123" s="1" t="str">
        <f t="shared" si="4"/>
        <v>level 1 - #conjuration Casting Time: #BonusAction, which you take immediately after hitting a creature with a weapon Range: Self Components: V Duration: #Concentration, up to 1 minute 
As you hit the target, grasping vines appear on it, and it makes a Strength saving throw. A Large or larger creature has Advantage on this save. On a failed save, the target has the Restrained condition until the spell ends. On a successful save, the vines shrivel away, and the spell ends. 
While Restrained, the target takes 1d6 Piercing damage at the start of each of its turns. The target or a creature within reach of it can take an action to make a Strength (Athletics) check against your spell save DC. On a success, the spell ends. 
Using a Higher-Level Spell Slot. The damage increases by 1d6 for each spell slot level above 1_x000D_
#Ranger</v>
      </c>
      <c r="C123" t="str">
        <f t="shared" si="5"/>
        <v>level 1</v>
      </c>
      <c r="D123" s="1" t="s">
        <v>1162</v>
      </c>
      <c r="E123" t="str">
        <f t="shared" si="6"/>
        <v>level 1</v>
      </c>
      <c r="F123" t="str">
        <f t="shared" si="7"/>
        <v>NULL</v>
      </c>
      <c r="G123" t="str">
        <f>_xlfn.TEXTJOIN(" ",TRUE,IF(IFERROR(MATCH(SUBSTITUTE(A123,".md",""),'Bard Spells'!A:A,0),0)&gt;0,"#Bard",""),IF(IFERROR(MATCH(SUBSTITUTE(A123,".md",""),'Cleric Spells'!A:A,0),0)&gt;0,"#Cleric",""),IF(IFERROR(MATCH(SUBSTITUTE(A123,".md",""),'Druid Spells'!A:A,0),0)&gt;0,"#Druid",""),IF(IFERROR(MATCH(SUBSTITUTE(A123,".md",""),'Paladin Spells'!A:A,0),0)&gt;0,"#Paladin",""),IF(IFERROR(MATCH(SUBSTITUTE(A123,".md",""),'Ranger Spells'!A:A,0),0)&gt;0,"#Ranger",""),IF(IFERROR(MATCH(SUBSTITUTE(A123,".md",""),'Sorcerer Spells'!A:A,0),0)&gt;0,"#Sorcerer",""),IF(IFERROR(MATCH(SUBSTITUTE(A123,".md",""),'Warlock Spells'!A:A,0),0)&gt;0,"#Warlock",""),IF(IFERROR(MATCH(SUBSTITUTE(A123,".md",""),'Wizard Spells'!A:A,0),0)&gt;0,"#Wizard",""))</f>
        <v>#Ranger</v>
      </c>
    </row>
    <row r="124" spans="1:7" ht="120" x14ac:dyDescent="0.25">
      <c r="A124" t="s">
        <v>146</v>
      </c>
      <c r="B124" s="1" t="str">
        <f t="shared" si="4"/>
        <v>level 1 - #conjuration Casting Time: Action Range: 90 feet Components: V, S Duration: #Concentration, up to 1 minute 
Grasping plants sprout from the ground in a 20-foot square within range. For the duration, these plants turn the ground in the area into Difficult Terrain. They disappear when the spell ends. Each creature (other than you) in the area when you cast the spell must succeed on a Strength saving throw or have the Restrained condition until the spell ends. A Restrained creature can take an action to make a Strength (Athletics) check against your spell save DC. On a success, it frees itself from the grasping plants and is no longer Restrained by them._x000D_
#Druid #Ranger</v>
      </c>
      <c r="C124" t="str">
        <f t="shared" si="5"/>
        <v>level 1</v>
      </c>
      <c r="D124" s="1" t="s">
        <v>685</v>
      </c>
      <c r="E124" t="str">
        <f t="shared" si="6"/>
        <v>level 1</v>
      </c>
      <c r="F124" t="str">
        <f t="shared" si="7"/>
        <v>NULL</v>
      </c>
      <c r="G124" t="str">
        <f>_xlfn.TEXTJOIN(" ",TRUE,IF(IFERROR(MATCH(SUBSTITUTE(A124,".md",""),'Bard Spells'!A:A,0),0)&gt;0,"#Bard",""),IF(IFERROR(MATCH(SUBSTITUTE(A124,".md",""),'Cleric Spells'!A:A,0),0)&gt;0,"#Cleric",""),IF(IFERROR(MATCH(SUBSTITUTE(A124,".md",""),'Druid Spells'!A:A,0),0)&gt;0,"#Druid",""),IF(IFERROR(MATCH(SUBSTITUTE(A124,".md",""),'Paladin Spells'!A:A,0),0)&gt;0,"#Paladin",""),IF(IFERROR(MATCH(SUBSTITUTE(A124,".md",""),'Ranger Spells'!A:A,0),0)&gt;0,"#Ranger",""),IF(IFERROR(MATCH(SUBSTITUTE(A124,".md",""),'Sorcerer Spells'!A:A,0),0)&gt;0,"#Sorcerer",""),IF(IFERROR(MATCH(SUBSTITUTE(A124,".md",""),'Warlock Spells'!A:A,0),0)&gt;0,"#Warlock",""),IF(IFERROR(MATCH(SUBSTITUTE(A124,".md",""),'Wizard Spells'!A:A,0),0)&gt;0,"#Wizard",""))</f>
        <v>#Druid #Ranger</v>
      </c>
    </row>
    <row r="125" spans="1:7" ht="105" x14ac:dyDescent="0.25">
      <c r="A125" t="s">
        <v>147</v>
      </c>
      <c r="B125" s="1" t="str">
        <f t="shared" si="4"/>
        <v>level 2 - #enchantment Casting Time: Action Range: 60 feet Components: V, S Duration: #Concentration, up to 1 minute 
You weave a distracting string of words, causing creatures of your choice that you can see within range to make a Wisdom saving throw. Any creature you or your companions are fighting automatically succeeds on this save. On a failed save, a target has a âˆ’10 penalty to Wisdom (Perception) checks and Passive Perception until the spell ends._x000D_
#Bard #Warlock</v>
      </c>
      <c r="C125" t="str">
        <f t="shared" si="5"/>
        <v>level 2</v>
      </c>
      <c r="D125" s="1" t="s">
        <v>686</v>
      </c>
      <c r="E125" t="str">
        <f t="shared" si="6"/>
        <v>level 2</v>
      </c>
      <c r="F125" t="str">
        <f t="shared" si="7"/>
        <v>NULL</v>
      </c>
      <c r="G125" t="str">
        <f>_xlfn.TEXTJOIN(" ",TRUE,IF(IFERROR(MATCH(SUBSTITUTE(A125,".md",""),'Bard Spells'!A:A,0),0)&gt;0,"#Bard",""),IF(IFERROR(MATCH(SUBSTITUTE(A125,".md",""),'Cleric Spells'!A:A,0),0)&gt;0,"#Cleric",""),IF(IFERROR(MATCH(SUBSTITUTE(A125,".md",""),'Druid Spells'!A:A,0),0)&gt;0,"#Druid",""),IF(IFERROR(MATCH(SUBSTITUTE(A125,".md",""),'Paladin Spells'!A:A,0),0)&gt;0,"#Paladin",""),IF(IFERROR(MATCH(SUBSTITUTE(A125,".md",""),'Ranger Spells'!A:A,0),0)&gt;0,"#Ranger",""),IF(IFERROR(MATCH(SUBSTITUTE(A125,".md",""),'Sorcerer Spells'!A:A,0),0)&gt;0,"#Sorcerer",""),IF(IFERROR(MATCH(SUBSTITUTE(A125,".md",""),'Warlock Spells'!A:A,0),0)&gt;0,"#Warlock",""),IF(IFERROR(MATCH(SUBSTITUTE(A125,".md",""),'Wizard Spells'!A:A,0),0)&gt;0,"#Wizard",""))</f>
        <v>#Bard #Warlock</v>
      </c>
    </row>
    <row r="126" spans="1:7" ht="195" x14ac:dyDescent="0.25">
      <c r="A126" t="s">
        <v>148</v>
      </c>
      <c r="B126" s="1" t="str">
        <f t="shared" si="4"/>
        <v>level 7 - #conjuration Casting Time: Action Range: Self Components: V, S Duration: Up to 8 hours 
You step into the border regions of the Ethereal Plane, where it overlaps with your current plane. You remain in the Border Ethereal for the duration. During this time, you can move in any direction. If you move up or down, every foot of movement costs an extra foot. You can perceive the plane you left, which looks gray, and you can't see anything there more than 60 feet away. While on the Ethereal Plane, you can affect and be affected only by creatures, objects, and effects on that plane. Creatures that aren't on the Ethereal Plane can't perceive or interact with you unless a feature gives them the ability to do so. 
When the spell ends, you return to the plane you left in the spot that corresponds to your space in the Border Ethereal. If you appear in an occupied space, you are shunted to the nearest unoccupied space and take Force damage equal to twice the number of feet you are moved. 
This spell ends instantly if you cast it while you are on the Ethereal Plane or a plane that doesn't border it, such as one of the Outer Planes. 
Using a Higher-Level Spell Slot. You can target up to three willing creatures (including yourself) for each spell slot level above 7. The creatures must be within 10 feet of you when you cast the spell._x000D_
#Bard #Cleric #Sorcerer #Warlock #Wizard</v>
      </c>
      <c r="C126" t="str">
        <f t="shared" si="5"/>
        <v>level 7</v>
      </c>
      <c r="D126" s="1" t="s">
        <v>149</v>
      </c>
      <c r="E126" t="str">
        <f t="shared" si="6"/>
        <v>level 7</v>
      </c>
      <c r="F126" t="str">
        <f t="shared" si="7"/>
        <v>NULL</v>
      </c>
      <c r="G126" t="str">
        <f>_xlfn.TEXTJOIN(" ",TRUE,IF(IFERROR(MATCH(SUBSTITUTE(A126,".md",""),'Bard Spells'!A:A,0),0)&gt;0,"#Bard",""),IF(IFERROR(MATCH(SUBSTITUTE(A126,".md",""),'Cleric Spells'!A:A,0),0)&gt;0,"#Cleric",""),IF(IFERROR(MATCH(SUBSTITUTE(A126,".md",""),'Druid Spells'!A:A,0),0)&gt;0,"#Druid",""),IF(IFERROR(MATCH(SUBSTITUTE(A126,".md",""),'Paladin Spells'!A:A,0),0)&gt;0,"#Paladin",""),IF(IFERROR(MATCH(SUBSTITUTE(A126,".md",""),'Ranger Spells'!A:A,0),0)&gt;0,"#Ranger",""),IF(IFERROR(MATCH(SUBSTITUTE(A126,".md",""),'Sorcerer Spells'!A:A,0),0)&gt;0,"#Sorcerer",""),IF(IFERROR(MATCH(SUBSTITUTE(A126,".md",""),'Warlock Spells'!A:A,0),0)&gt;0,"#Warlock",""),IF(IFERROR(MATCH(SUBSTITUTE(A126,".md",""),'Wizard Spells'!A:A,0),0)&gt;0,"#Wizard",""))</f>
        <v>#Bard #Cleric #Sorcerer #Warlock #Wizard</v>
      </c>
    </row>
    <row r="127" spans="1:7" ht="135" x14ac:dyDescent="0.25">
      <c r="A127" t="s">
        <v>150</v>
      </c>
      <c r="B127" s="1" t="str">
        <f t="shared" si="4"/>
        <v>level 4 - #conjuration Casting Time: Action Range: 90 feet Components: V, S, M (a tentacle) Duration: #Concentration, up to 1 minute 
Squirming, ebony tentacles fill a 20-foot square on ground that you can see within range. For the duration, these tentacles turn the ground in that area into Difficult Terrain. 
Each creature in that area makes a Strength saving throw. On a failed save, it takes 3d6 Bludgeoning damage, and it has the Restrained condition until the spell ends. A creature also makes that save if it enters the area or ends it turn there. A creature makes that save only once per turn. 
A Restrained creature can take an action to make a Strength (Athletics) check against your spell save DC, ending the condition on itself on a success._x000D_
#Wizard</v>
      </c>
      <c r="C127" t="str">
        <f t="shared" si="5"/>
        <v>level 4</v>
      </c>
      <c r="D127" s="1" t="s">
        <v>151</v>
      </c>
      <c r="E127" t="str">
        <f t="shared" si="6"/>
        <v>level 4</v>
      </c>
      <c r="F127" t="str">
        <f t="shared" si="7"/>
        <v>NULL</v>
      </c>
      <c r="G127" t="str">
        <f>_xlfn.TEXTJOIN(" ",TRUE,IF(IFERROR(MATCH(SUBSTITUTE(A127,".md",""),'Bard Spells'!A:A,0),0)&gt;0,"#Bard",""),IF(IFERROR(MATCH(SUBSTITUTE(A127,".md",""),'Cleric Spells'!A:A,0),0)&gt;0,"#Cleric",""),IF(IFERROR(MATCH(SUBSTITUTE(A127,".md",""),'Druid Spells'!A:A,0),0)&gt;0,"#Druid",""),IF(IFERROR(MATCH(SUBSTITUTE(A127,".md",""),'Paladin Spells'!A:A,0),0)&gt;0,"#Paladin",""),IF(IFERROR(MATCH(SUBSTITUTE(A127,".md",""),'Ranger Spells'!A:A,0),0)&gt;0,"#Ranger",""),IF(IFERROR(MATCH(SUBSTITUTE(A127,".md",""),'Sorcerer Spells'!A:A,0),0)&gt;0,"#Sorcerer",""),IF(IFERROR(MATCH(SUBSTITUTE(A127,".md",""),'Warlock Spells'!A:A,0),0)&gt;0,"#Warlock",""),IF(IFERROR(MATCH(SUBSTITUTE(A127,".md",""),'Wizard Spells'!A:A,0),0)&gt;0,"#Wizard",""))</f>
        <v>#Wizard</v>
      </c>
    </row>
    <row r="128" spans="1:7" ht="90" x14ac:dyDescent="0.25">
      <c r="A128" t="s">
        <v>152</v>
      </c>
      <c r="B128" s="1" t="str">
        <f t="shared" si="4"/>
        <v>level 1 - #transmutation Casting Time: #BonusAction Range: Self Components: V, S Duration: #Concentration, up to 10 minutes 
You take the Dash action, and until the spell ends, you can take that action again as a Bonus Action_x000D_
#Sorcerer #Warlock #Wizard</v>
      </c>
      <c r="C128" t="str">
        <f t="shared" si="5"/>
        <v>level 1</v>
      </c>
      <c r="D128" s="1" t="s">
        <v>1163</v>
      </c>
      <c r="E128" t="str">
        <f t="shared" si="6"/>
        <v>level 1</v>
      </c>
      <c r="F128" t="str">
        <f t="shared" si="7"/>
        <v>NULL</v>
      </c>
      <c r="G128" t="str">
        <f>_xlfn.TEXTJOIN(" ",TRUE,IF(IFERROR(MATCH(SUBSTITUTE(A128,".md",""),'Bard Spells'!A:A,0),0)&gt;0,"#Bard",""),IF(IFERROR(MATCH(SUBSTITUTE(A128,".md",""),'Cleric Spells'!A:A,0),0)&gt;0,"#Cleric",""),IF(IFERROR(MATCH(SUBSTITUTE(A128,".md",""),'Druid Spells'!A:A,0),0)&gt;0,"#Druid",""),IF(IFERROR(MATCH(SUBSTITUTE(A128,".md",""),'Paladin Spells'!A:A,0),0)&gt;0,"#Paladin",""),IF(IFERROR(MATCH(SUBSTITUTE(A128,".md",""),'Ranger Spells'!A:A,0),0)&gt;0,"#Ranger",""),IF(IFERROR(MATCH(SUBSTITUTE(A128,".md",""),'Sorcerer Spells'!A:A,0),0)&gt;0,"#Sorcerer",""),IF(IFERROR(MATCH(SUBSTITUTE(A128,".md",""),'Warlock Spells'!A:A,0),0)&gt;0,"#Warlock",""),IF(IFERROR(MATCH(SUBSTITUTE(A128,".md",""),'Wizard Spells'!A:A,0),0)&gt;0,"#Wizard",""))</f>
        <v>#Sorcerer #Warlock #Wizard</v>
      </c>
    </row>
    <row r="129" spans="1:7" ht="180" x14ac:dyDescent="0.25">
      <c r="A129" t="s">
        <v>153</v>
      </c>
      <c r="B129" s="1" t="str">
        <f t="shared" si="4"/>
        <v>level 6 - #necromancy Casting Time: Action Range: Self Components: V, S Duration: #Concentration, up to 1 minute 
For the duration, your eyes become an inky void. One creature of your choice within 60 feet of you that you can see must succeed on a Wisdom saving throw or be affected by one of the following effects of your choice for the duration. 
On each of your turns until the spell ends, you can take a Magic action to target another creature but can't target a creature again if it has succeeded on a save against this casting of the spell. 
**Asleep.** The target has the Unconscious condition. It wakes up if it takes any damage or if another creature takes an action to shake it awake. 
**Panicked.** The target has the Frightened condition. On each of its turns, the Frightened target must take the Dash action and move away from you by the safest and shortest route available. If the target moves to a space at least 60 feet away from you where it can't see you, this effect ends. 
**Sickened.** The target has the Poisoned condition_x000D_
#Bard #Sorcerer #Warlock #Wizard</v>
      </c>
      <c r="C129" t="str">
        <f t="shared" si="5"/>
        <v>level 6</v>
      </c>
      <c r="D129" s="1" t="s">
        <v>154</v>
      </c>
      <c r="E129" t="str">
        <f t="shared" si="6"/>
        <v>level 6</v>
      </c>
      <c r="F129" t="str">
        <f t="shared" si="7"/>
        <v>NULL</v>
      </c>
      <c r="G129" t="str">
        <f>_xlfn.TEXTJOIN(" ",TRUE,IF(IFERROR(MATCH(SUBSTITUTE(A129,".md",""),'Bard Spells'!A:A,0),0)&gt;0,"#Bard",""),IF(IFERROR(MATCH(SUBSTITUTE(A129,".md",""),'Cleric Spells'!A:A,0),0)&gt;0,"#Cleric",""),IF(IFERROR(MATCH(SUBSTITUTE(A129,".md",""),'Druid Spells'!A:A,0),0)&gt;0,"#Druid",""),IF(IFERROR(MATCH(SUBSTITUTE(A129,".md",""),'Paladin Spells'!A:A,0),0)&gt;0,"#Paladin",""),IF(IFERROR(MATCH(SUBSTITUTE(A129,".md",""),'Ranger Spells'!A:A,0),0)&gt;0,"#Ranger",""),IF(IFERROR(MATCH(SUBSTITUTE(A129,".md",""),'Sorcerer Spells'!A:A,0),0)&gt;0,"#Sorcerer",""),IF(IFERROR(MATCH(SUBSTITUTE(A129,".md",""),'Warlock Spells'!A:A,0),0)&gt;0,"#Warlock",""),IF(IFERROR(MATCH(SUBSTITUTE(A129,".md",""),'Wizard Spells'!A:A,0),0)&gt;0,"#Wizard",""))</f>
        <v>#Bard #Sorcerer #Warlock #Wizard</v>
      </c>
    </row>
    <row r="130" spans="1:7" ht="150" x14ac:dyDescent="0.25">
      <c r="A130" t="s">
        <v>155</v>
      </c>
      <c r="B130" s="1" t="str">
        <f t="shared" ref="B130:B193" si="8">D130&amp;CHAR(10)&amp;CHAR(10)&amp;G130</f>
        <v>level 4 - #transmutation Casting Time: 10 minutes Range: 120 feet Components: V, S Duration: Instantaneous 
You convert raw materials into products of the same material. For example, you can fabricate a wooden bridge from a clump of trees, a rope from a patch of hemp, or clothes from flax or wool. Choose raw materials that you can see within range. You can fabricate a Large or smaller object (contained within a 10-foot Cube or eight connected 5-foot Cubes) given a sufficient quantity of material. If you're working with metal, stone, or another mineral substance, however, the fabricated object can be no larger than Medium (contained within a 5-foot Cube). The quality of any fabricated objects is based on the quality of the raw materials. 
Creatures and magic items can't be created by this spell. You also can't use it to create items that require a high degree of skillâ€”such as weapons and armorâ€”unless you have proficiency with the type of Artisan's Tools used to craft such objects_x000D_
#Wizard</v>
      </c>
      <c r="C130" t="str">
        <f t="shared" ref="C130:C193" si="9">E130</f>
        <v>level 4</v>
      </c>
      <c r="D130" s="1" t="s">
        <v>156</v>
      </c>
      <c r="E130" t="str">
        <f t="shared" ref="E130:E193" si="10">LEFT(D130,7)</f>
        <v>level 4</v>
      </c>
      <c r="F130" t="str">
        <f t="shared" ref="F130:F193" si="11">IF(AND(ISNUMBER(SEARCH("- ", D130)), NOT(ISNUMBER(SEARCH("- #", D130)))), "Match", "NULL")</f>
        <v>NULL</v>
      </c>
      <c r="G130" t="str">
        <f>_xlfn.TEXTJOIN(" ",TRUE,IF(IFERROR(MATCH(SUBSTITUTE(A130,".md",""),'Bard Spells'!A:A,0),0)&gt;0,"#Bard",""),IF(IFERROR(MATCH(SUBSTITUTE(A130,".md",""),'Cleric Spells'!A:A,0),0)&gt;0,"#Cleric",""),IF(IFERROR(MATCH(SUBSTITUTE(A130,".md",""),'Druid Spells'!A:A,0),0)&gt;0,"#Druid",""),IF(IFERROR(MATCH(SUBSTITUTE(A130,".md",""),'Paladin Spells'!A:A,0),0)&gt;0,"#Paladin",""),IF(IFERROR(MATCH(SUBSTITUTE(A130,".md",""),'Ranger Spells'!A:A,0),0)&gt;0,"#Ranger",""),IF(IFERROR(MATCH(SUBSTITUTE(A130,".md",""),'Sorcerer Spells'!A:A,0),0)&gt;0,"#Sorcerer",""),IF(IFERROR(MATCH(SUBSTITUTE(A130,".md",""),'Warlock Spells'!A:A,0),0)&gt;0,"#Warlock",""),IF(IFERROR(MATCH(SUBSTITUTE(A130,".md",""),'Wizard Spells'!A:A,0),0)&gt;0,"#Wizard",""))</f>
        <v>#Wizard</v>
      </c>
    </row>
    <row r="131" spans="1:7" ht="120" x14ac:dyDescent="0.25">
      <c r="A131" t="s">
        <v>157</v>
      </c>
      <c r="B131" s="1" t="str">
        <f t="shared" si="8"/>
        <v>level 1 - #evocation Casting Time: Action Range: 60 feet Components: V Duration: #Concentration, up to 1 minute 
Objects in a 20-foot Cube within range are outlined in blue, green, or violet light (your choice). Each creature in the Cube is also outlined if it fails a Dexterity saving throw. For the duration, objects and affected creatures shed Dim Light in a 10-foot radius and can't benefit from the Invisible condition. 
Attack rolls against an affected creature or object have Advantage if the attacker can see it._x000D_
#Bard #Druid</v>
      </c>
      <c r="C131" t="str">
        <f t="shared" si="9"/>
        <v>level 1</v>
      </c>
      <c r="D131" s="1" t="s">
        <v>158</v>
      </c>
      <c r="E131" t="str">
        <f t="shared" si="10"/>
        <v>level 1</v>
      </c>
      <c r="F131" t="str">
        <f t="shared" si="11"/>
        <v>NULL</v>
      </c>
      <c r="G131" t="str">
        <f>_xlfn.TEXTJOIN(" ",TRUE,IF(IFERROR(MATCH(SUBSTITUTE(A131,".md",""),'Bard Spells'!A:A,0),0)&gt;0,"#Bard",""),IF(IFERROR(MATCH(SUBSTITUTE(A131,".md",""),'Cleric Spells'!A:A,0),0)&gt;0,"#Cleric",""),IF(IFERROR(MATCH(SUBSTITUTE(A131,".md",""),'Druid Spells'!A:A,0),0)&gt;0,"#Druid",""),IF(IFERROR(MATCH(SUBSTITUTE(A131,".md",""),'Paladin Spells'!A:A,0),0)&gt;0,"#Paladin",""),IF(IFERROR(MATCH(SUBSTITUTE(A131,".md",""),'Ranger Spells'!A:A,0),0)&gt;0,"#Ranger",""),IF(IFERROR(MATCH(SUBSTITUTE(A131,".md",""),'Sorcerer Spells'!A:A,0),0)&gt;0,"#Sorcerer",""),IF(IFERROR(MATCH(SUBSTITUTE(A131,".md",""),'Warlock Spells'!A:A,0),0)&gt;0,"#Warlock",""),IF(IFERROR(MATCH(SUBSTITUTE(A131,".md",""),'Wizard Spells'!A:A,0),0)&gt;0,"#Wizard",""))</f>
        <v>#Bard #Druid</v>
      </c>
    </row>
    <row r="132" spans="1:7" ht="120" x14ac:dyDescent="0.25">
      <c r="A132" t="s">
        <v>159</v>
      </c>
      <c r="B132" s="1" t="str">
        <f t="shared" si="8"/>
        <v>level 1 - #necromancy Casting Time: Action Range: Self Components: V, S, M (a drop of alcohol) Duration: Instantaneous 
You gain 2d4 + 4 Temporary Hit Points. 
Using a Higher-Level Spell Slot. You gain 5 additional Temporary Hit Points for each spell slot level above 1._x000D_
#Sorcerer #Wizard</v>
      </c>
      <c r="C132" t="str">
        <f t="shared" si="9"/>
        <v>level 1</v>
      </c>
      <c r="D132" s="1" t="s">
        <v>160</v>
      </c>
      <c r="E132" t="str">
        <f t="shared" si="10"/>
        <v>level 1</v>
      </c>
      <c r="F132" t="str">
        <f t="shared" si="11"/>
        <v>NULL</v>
      </c>
      <c r="G132" t="str">
        <f>_xlfn.TEXTJOIN(" ",TRUE,IF(IFERROR(MATCH(SUBSTITUTE(A132,".md",""),'Bard Spells'!A:A,0),0)&gt;0,"#Bard",""),IF(IFERROR(MATCH(SUBSTITUTE(A132,".md",""),'Cleric Spells'!A:A,0),0)&gt;0,"#Cleric",""),IF(IFERROR(MATCH(SUBSTITUTE(A132,".md",""),'Druid Spells'!A:A,0),0)&gt;0,"#Druid",""),IF(IFERROR(MATCH(SUBSTITUTE(A132,".md",""),'Paladin Spells'!A:A,0),0)&gt;0,"#Paladin",""),IF(IFERROR(MATCH(SUBSTITUTE(A132,".md",""),'Ranger Spells'!A:A,0),0)&gt;0,"#Ranger",""),IF(IFERROR(MATCH(SUBSTITUTE(A132,".md",""),'Sorcerer Spells'!A:A,0),0)&gt;0,"#Sorcerer",""),IF(IFERROR(MATCH(SUBSTITUTE(A132,".md",""),'Warlock Spells'!A:A,0),0)&gt;0,"#Warlock",""),IF(IFERROR(MATCH(SUBSTITUTE(A132,".md",""),'Wizard Spells'!A:A,0),0)&gt;0,"#Wizard",""))</f>
        <v>#Sorcerer #Wizard</v>
      </c>
    </row>
    <row r="133" spans="1:7" ht="120" x14ac:dyDescent="0.25">
      <c r="A133" t="s">
        <v>161</v>
      </c>
      <c r="B133" s="1" t="str">
        <f t="shared" si="8"/>
        <v>level 3 - #illusion Casting Time: Action Range: Self Components: V, S, M (a white feather) Duration: #Concentration, up to 1 minute 
Each creature in a 30-foot Cone must succeed on a Wisdom saving throw or drop whatever it is holding and have the Frightened condition for the duration. 
A Frightened creature takes the Dash action and moves away from you by the safest route on each of its turns unless there is nowhere to move. If the creature ends its turn in a space where it doesn't have line of sight to you, the creature makes a Wisdom saving throw. On a successful save, the spell ends on that creature._x000D_
#Bard #Sorcerer #Warlock #Wizard</v>
      </c>
      <c r="C133" t="str">
        <f t="shared" si="9"/>
        <v>level 3</v>
      </c>
      <c r="D133" s="1" t="s">
        <v>687</v>
      </c>
      <c r="E133" t="str">
        <f t="shared" si="10"/>
        <v>level 3</v>
      </c>
      <c r="F133" t="str">
        <f t="shared" si="11"/>
        <v>NULL</v>
      </c>
      <c r="G133" t="str">
        <f>_xlfn.TEXTJOIN(" ",TRUE,IF(IFERROR(MATCH(SUBSTITUTE(A133,".md",""),'Bard Spells'!A:A,0),0)&gt;0,"#Bard",""),IF(IFERROR(MATCH(SUBSTITUTE(A133,".md",""),'Cleric Spells'!A:A,0),0)&gt;0,"#Cleric",""),IF(IFERROR(MATCH(SUBSTITUTE(A133,".md",""),'Druid Spells'!A:A,0),0)&gt;0,"#Druid",""),IF(IFERROR(MATCH(SUBSTITUTE(A133,".md",""),'Paladin Spells'!A:A,0),0)&gt;0,"#Paladin",""),IF(IFERROR(MATCH(SUBSTITUTE(A133,".md",""),'Ranger Spells'!A:A,0),0)&gt;0,"#Ranger",""),IF(IFERROR(MATCH(SUBSTITUTE(A133,".md",""),'Sorcerer Spells'!A:A,0),0)&gt;0,"#Sorcerer",""),IF(IFERROR(MATCH(SUBSTITUTE(A133,".md",""),'Warlock Spells'!A:A,0),0)&gt;0,"#Warlock",""),IF(IFERROR(MATCH(SUBSTITUTE(A133,".md",""),'Wizard Spells'!A:A,0),0)&gt;0,"#Wizard",""))</f>
        <v>#Bard #Sorcerer #Warlock #Wizard</v>
      </c>
    </row>
    <row r="134" spans="1:7" ht="105" x14ac:dyDescent="0.25">
      <c r="A134" t="s">
        <v>162</v>
      </c>
      <c r="B134" s="1" t="str">
        <f t="shared" si="8"/>
        <v>level 1 - #transmutation Casting Time: #Reaction, which you take when you or a creature you can see within 60 feet of you falls Range: 60 feet Components: V, M (a small feather or piece of down) Duration: 1 minute 
Choose up to five falling creatures within range. A falling creature's rate of descent slows to 60 feet per round until the spell ends. If a creature lands before the spell ends, the creature takes no damage from the fall, and the spell ends for that creature._x000D_
#Bard #Sorcerer #Wizard</v>
      </c>
      <c r="C134" t="str">
        <f t="shared" si="9"/>
        <v>level 1</v>
      </c>
      <c r="D134" s="1" t="s">
        <v>1184</v>
      </c>
      <c r="E134" t="str">
        <f t="shared" si="10"/>
        <v>level 1</v>
      </c>
      <c r="F134" t="str">
        <f t="shared" si="11"/>
        <v>NULL</v>
      </c>
      <c r="G134" t="str">
        <f>_xlfn.TEXTJOIN(" ",TRUE,IF(IFERROR(MATCH(SUBSTITUTE(A134,".md",""),'Bard Spells'!A:A,0),0)&gt;0,"#Bard",""),IF(IFERROR(MATCH(SUBSTITUTE(A134,".md",""),'Cleric Spells'!A:A,0),0)&gt;0,"#Cleric",""),IF(IFERROR(MATCH(SUBSTITUTE(A134,".md",""),'Druid Spells'!A:A,0),0)&gt;0,"#Druid",""),IF(IFERROR(MATCH(SUBSTITUTE(A134,".md",""),'Paladin Spells'!A:A,0),0)&gt;0,"#Paladin",""),IF(IFERROR(MATCH(SUBSTITUTE(A134,".md",""),'Ranger Spells'!A:A,0),0)&gt;0,"#Ranger",""),IF(IFERROR(MATCH(SUBSTITUTE(A134,".md",""),'Sorcerer Spells'!A:A,0),0)&gt;0,"#Sorcerer",""),IF(IFERROR(MATCH(SUBSTITUTE(A134,".md",""),'Warlock Spells'!A:A,0),0)&gt;0,"#Warlock",""),IF(IFERROR(MATCH(SUBSTITUTE(A134,".md",""),'Wizard Spells'!A:A,0),0)&gt;0,"#Wizard",""))</f>
        <v>#Bard #Sorcerer #Wizard</v>
      </c>
    </row>
    <row r="135" spans="1:7" ht="120" x14ac:dyDescent="0.25">
      <c r="A135" t="s">
        <v>163</v>
      </c>
      <c r="B135" s="1" t="str">
        <f t="shared" si="8"/>
        <v>level 3 - #necromancy ( #ritual ) Casting Time: Action or Ritual Range: Touch Components: V, S, M (a pinch of graveyard dirt) Duration: 1 hour 
You touch a willing creature and put it into a cataleptic state that is indistinguishable from death. 
For the duration, the target appears dead to outward inspection and to spells used to determine the target's status. The target has the Blinded and Incapacitated conditions, and its Speed is 0. 
The target also has Resistance to all damage except Psychic damage, and it has Immunity to the Poisoned condition_x000D_
#Bard #Cleric #Druid #Wizard</v>
      </c>
      <c r="C135" t="str">
        <f t="shared" si="9"/>
        <v>level 3</v>
      </c>
      <c r="D135" s="1" t="s">
        <v>649</v>
      </c>
      <c r="E135" t="str">
        <f t="shared" si="10"/>
        <v>level 3</v>
      </c>
      <c r="F135" t="str">
        <f t="shared" si="11"/>
        <v>NULL</v>
      </c>
      <c r="G135" t="str">
        <f>_xlfn.TEXTJOIN(" ",TRUE,IF(IFERROR(MATCH(SUBSTITUTE(A135,".md",""),'Bard Spells'!A:A,0),0)&gt;0,"#Bard",""),IF(IFERROR(MATCH(SUBSTITUTE(A135,".md",""),'Cleric Spells'!A:A,0),0)&gt;0,"#Cleric",""),IF(IFERROR(MATCH(SUBSTITUTE(A135,".md",""),'Druid Spells'!A:A,0),0)&gt;0,"#Druid",""),IF(IFERROR(MATCH(SUBSTITUTE(A135,".md",""),'Paladin Spells'!A:A,0),0)&gt;0,"#Paladin",""),IF(IFERROR(MATCH(SUBSTITUTE(A135,".md",""),'Ranger Spells'!A:A,0),0)&gt;0,"#Ranger",""),IF(IFERROR(MATCH(SUBSTITUTE(A135,".md",""),'Sorcerer Spells'!A:A,0),0)&gt;0,"#Sorcerer",""),IF(IFERROR(MATCH(SUBSTITUTE(A135,".md",""),'Warlock Spells'!A:A,0),0)&gt;0,"#Warlock",""),IF(IFERROR(MATCH(SUBSTITUTE(A135,".md",""),'Wizard Spells'!A:A,0),0)&gt;0,"#Wizard",""))</f>
        <v>#Bard #Cleric #Druid #Wizard</v>
      </c>
    </row>
    <row r="136" spans="1:7" ht="225" x14ac:dyDescent="0.25">
      <c r="A136" t="s">
        <v>164</v>
      </c>
      <c r="B136" s="1" t="str">
        <f t="shared" si="8"/>
        <v>level 1 - #conjuration ( #ritual ) Casting Time: 1 hour or Ritual Range: 10 feet Components: V, S, M (burning incense worth 10+ GP, which the spell consumes) Duration: Instantaneous 
You gain the service of a familiar, a spirit that takes an animal form you choose: B**at, Cat, Frog, Hawk, Lizard, Octopus, Owl, Rat, Raven, Spider, Weasel,** or another Beast that has a Challenge Rating of 0. Appearing in an unoccupied space within range, the familiar has the statistics of the chosen form, though it is a Celestial, Fey, or Fiend (your choice) instead of a Beast. Your familiar acts independently of you, but it obeys your commands. Telepathic Connection. While your familiar is within 100 feet of you, you can communicate with it telepathically. Additionally, as a Bonus Action, you can see through the familiar's eyes and hear what it hears until the start of your next turn, gaining the benefits of any special senses it has. 
Finally, when you cast a spell with a range of touch, your familiar can deliver the touch. Your familiar must be within 100 feet of you, and it must take a Reaction to deliver the touch when you cast the spell. 
**Combat.** The familiar is an ally to you and your allies. It rolls its own Initiative and acts on its own turn. A familiar can't attack, but it can take other actions as normal. Disappearance of the Familiar. When the familiar drops to 0 Hit Points, it disappears. It reappears after you cast this spell again. As a Magic action, you can temporarily dismiss the familiar to a pocket dimension. Alternatively, you can dismiss it forever. As a Magic action while it is temporarily dismissed, you can cause it to reappear in an unoccupied space within 30 feet of you. Whenever the familiar drops to 0 Hit Points or disappears into the pocket dimension, it leaves behind in its space anything it was wearing or carrying. 
**One Familiar Only.** You can't have more than one familiar at a time. If you cast this spell while you have a familiar, you instead cause it to adopt a new eligible form_x000D_
#Wizard</v>
      </c>
      <c r="C136" t="str">
        <f t="shared" si="9"/>
        <v>level 1</v>
      </c>
      <c r="D136" s="1" t="s">
        <v>165</v>
      </c>
      <c r="E136" t="str">
        <f t="shared" si="10"/>
        <v>level 1</v>
      </c>
      <c r="F136" t="str">
        <f t="shared" si="11"/>
        <v>NULL</v>
      </c>
      <c r="G136" t="str">
        <f>_xlfn.TEXTJOIN(" ",TRUE,IF(IFERROR(MATCH(SUBSTITUTE(A136,".md",""),'Bard Spells'!A:A,0),0)&gt;0,"#Bard",""),IF(IFERROR(MATCH(SUBSTITUTE(A136,".md",""),'Cleric Spells'!A:A,0),0)&gt;0,"#Cleric",""),IF(IFERROR(MATCH(SUBSTITUTE(A136,".md",""),'Druid Spells'!A:A,0),0)&gt;0,"#Druid",""),IF(IFERROR(MATCH(SUBSTITUTE(A136,".md",""),'Paladin Spells'!A:A,0),0)&gt;0,"#Paladin",""),IF(IFERROR(MATCH(SUBSTITUTE(A136,".md",""),'Ranger Spells'!A:A,0),0)&gt;0,"#Ranger",""),IF(IFERROR(MATCH(SUBSTITUTE(A136,".md",""),'Sorcerer Spells'!A:A,0),0)&gt;0,"#Sorcerer",""),IF(IFERROR(MATCH(SUBSTITUTE(A136,".md",""),'Warlock Spells'!A:A,0),0)&gt;0,"#Warlock",""),IF(IFERROR(MATCH(SUBSTITUTE(A136,".md",""),'Wizard Spells'!A:A,0),0)&gt;0,"#Wizard",""))</f>
        <v>#Wizard</v>
      </c>
    </row>
    <row r="137" spans="1:7" ht="210" x14ac:dyDescent="0.25">
      <c r="A137" t="s">
        <v>166</v>
      </c>
      <c r="B137" s="1" t="str">
        <f t="shared" si="8"/>
        <v>level 2 - #conjuration Casting Time: Action Range: 30 feet Components: V, S Duration: Instantaneous 
You summon an otherworldly being that appears as a loyal steed in an unoccupied space of your choice within range. This creature uses the **Otherworldly Steed** stat block. If you already have a steed from this spell, the steed is replaced by the new one. The steed resembles a Large, rideable animal of your choice, such as a horse, a camel, a dire wolf, or an elk. Whenever you cast the spell, choose the steed's creature type-Celestial, Fey, or Fiend which determines certain traits in the stat block. 
**Combat.** The steed is an ally to you and your allies. In combat, it shares your Initiative count, and it functions as a controlled mount while you ride it (as defined in the rules on mounted combat). If you have the Incapacitated condition, the steed takes its turn immediately after yours and acts independently, focusing on protecting you. 
**Disappearance of the Steed.** The steed disappears if it drops to 0 Hit Points or if you die. When it disappears, it leaves behind anything it was wearing or carrying. If you cast this spell again, you decide whether you summon the steed that disappeared or a different one. 
Using a Higher-Level Spell Slot. Use the spell slot's level for the spell's level in the stat block._x000D_
#Paladin</v>
      </c>
      <c r="C137" t="str">
        <f t="shared" si="9"/>
        <v>level 2</v>
      </c>
      <c r="D137" s="1" t="s">
        <v>167</v>
      </c>
      <c r="E137" t="str">
        <f t="shared" si="10"/>
        <v>level 2</v>
      </c>
      <c r="F137" t="str">
        <f t="shared" si="11"/>
        <v>NULL</v>
      </c>
      <c r="G137" t="str">
        <f>_xlfn.TEXTJOIN(" ",TRUE,IF(IFERROR(MATCH(SUBSTITUTE(A137,".md",""),'Bard Spells'!A:A,0),0)&gt;0,"#Bard",""),IF(IFERROR(MATCH(SUBSTITUTE(A137,".md",""),'Cleric Spells'!A:A,0),0)&gt;0,"#Cleric",""),IF(IFERROR(MATCH(SUBSTITUTE(A137,".md",""),'Druid Spells'!A:A,0),0)&gt;0,"#Druid",""),IF(IFERROR(MATCH(SUBSTITUTE(A137,".md",""),'Paladin Spells'!A:A,0),0)&gt;0,"#Paladin",""),IF(IFERROR(MATCH(SUBSTITUTE(A137,".md",""),'Ranger Spells'!A:A,0),0)&gt;0,"#Ranger",""),IF(IFERROR(MATCH(SUBSTITUTE(A137,".md",""),'Sorcerer Spells'!A:A,0),0)&gt;0,"#Sorcerer",""),IF(IFERROR(MATCH(SUBSTITUTE(A137,".md",""),'Warlock Spells'!A:A,0),0)&gt;0,"#Warlock",""),IF(IFERROR(MATCH(SUBSTITUTE(A137,".md",""),'Wizard Spells'!A:A,0),0)&gt;0,"#Wizard",""))</f>
        <v>#Paladin</v>
      </c>
    </row>
    <row r="138" spans="1:7" ht="135" x14ac:dyDescent="0.25">
      <c r="A138" t="s">
        <v>168</v>
      </c>
      <c r="B138" s="1" t="str">
        <f t="shared" si="8"/>
        <v>level 6 - #divination Casting Time: 1 minute Range: Self Components: V, S, M (a set of divination tools-such as cards or runes-worth 100+ GP) Duration: #Concentration, up to 1 day 
You magically sense the most direct physical route to a location you name. You must be familiar with the location, and the spell fails if you name a destination on another plane of existence, a moving destination (such as a mobile fortress), or an unspecific destination (such as â€œa green dragon's lairâ€). 
For the duration, as long as you are on the same plane of existence as the destination, you know how far it is and in what direction it lies. Whenever you face a choice of paths along the way there, you know which path is the most direct._x000D_
#Bard #Cleric #Druid</v>
      </c>
      <c r="C138" t="str">
        <f t="shared" si="9"/>
        <v>level 6</v>
      </c>
      <c r="D138" s="1" t="s">
        <v>169</v>
      </c>
      <c r="E138" t="str">
        <f t="shared" si="10"/>
        <v>level 6</v>
      </c>
      <c r="F138" t="str">
        <f t="shared" si="11"/>
        <v>NULL</v>
      </c>
      <c r="G138" t="str">
        <f>_xlfn.TEXTJOIN(" ",TRUE,IF(IFERROR(MATCH(SUBSTITUTE(A138,".md",""),'Bard Spells'!A:A,0),0)&gt;0,"#Bard",""),IF(IFERROR(MATCH(SUBSTITUTE(A138,".md",""),'Cleric Spells'!A:A,0),0)&gt;0,"#Cleric",""),IF(IFERROR(MATCH(SUBSTITUTE(A138,".md",""),'Druid Spells'!A:A,0),0)&gt;0,"#Druid",""),IF(IFERROR(MATCH(SUBSTITUTE(A138,".md",""),'Paladin Spells'!A:A,0),0)&gt;0,"#Paladin",""),IF(IFERROR(MATCH(SUBSTITUTE(A138,".md",""),'Ranger Spells'!A:A,0),0)&gt;0,"#Ranger",""),IF(IFERROR(MATCH(SUBSTITUTE(A138,".md",""),'Sorcerer Spells'!A:A,0),0)&gt;0,"#Sorcerer",""),IF(IFERROR(MATCH(SUBSTITUTE(A138,".md",""),'Warlock Spells'!A:A,0),0)&gt;0,"#Warlock",""),IF(IFERROR(MATCH(SUBSTITUTE(A138,".md",""),'Wizard Spells'!A:A,0),0)&gt;0,"#Wizard",""))</f>
        <v>#Bard #Cleric #Druid</v>
      </c>
    </row>
    <row r="139" spans="1:7" ht="120" x14ac:dyDescent="0.25">
      <c r="A139" t="s">
        <v>170</v>
      </c>
      <c r="B139" s="1" t="str">
        <f t="shared" si="8"/>
        <v>level 2 - #divination Casting Time: Action Range: 120 feet Components: V, S Duration: Instantaneous 
You sense any trap within range that is within line of sight. A trap, for the purpose of this spell, includes any object or mechanism that was created to cause damage or other danger. Thus, the spell would sense the Alarm or Glyph of Warding spell or a mechanical pit trap, but it wouldn't reveal a natural weakness in the floor, an unstable ceiling, or a hidden sinkhole. 
This spell reveals that a trap is present but not its location. You do learn the general nature of the danger posed by a trap you sense.
#Cleric #Druid #Ranger</v>
      </c>
      <c r="C139" t="str">
        <f t="shared" si="9"/>
        <v>level 2</v>
      </c>
      <c r="D139" s="1" t="s">
        <v>1217</v>
      </c>
      <c r="E139" t="str">
        <f t="shared" si="10"/>
        <v>level 2</v>
      </c>
      <c r="F139" t="str">
        <f t="shared" si="11"/>
        <v>NULL</v>
      </c>
      <c r="G139" t="str">
        <f>_xlfn.TEXTJOIN(" ",TRUE,IF(IFERROR(MATCH(SUBSTITUTE(A139,".md",""),'Bard Spells'!A:A,0),0)&gt;0,"#Bard",""),IF(IFERROR(MATCH(SUBSTITUTE(A139,".md",""),'Cleric Spells'!A:A,0),0)&gt;0,"#Cleric",""),IF(IFERROR(MATCH(SUBSTITUTE(A139,".md",""),'Druid Spells'!A:A,0),0)&gt;0,"#Druid",""),IF(IFERROR(MATCH(SUBSTITUTE(A139,".md",""),'Paladin Spells'!A:A,0),0)&gt;0,"#Paladin",""),IF(IFERROR(MATCH(SUBSTITUTE(A139,".md",""),'Ranger Spells'!A:A,0),0)&gt;0,"#Ranger",""),IF(IFERROR(MATCH(SUBSTITUTE(A139,".md",""),'Sorcerer Spells'!A:A,0),0)&gt;0,"#Sorcerer",""),IF(IFERROR(MATCH(SUBSTITUTE(A139,".md",""),'Warlock Spells'!A:A,0),0)&gt;0,"#Warlock",""),IF(IFERROR(MATCH(SUBSTITUTE(A139,".md",""),'Wizard Spells'!A:A,0),0)&gt;0,"#Wizard",""))</f>
        <v>#Cleric #Druid #Ranger</v>
      </c>
    </row>
    <row r="140" spans="1:7" ht="105" x14ac:dyDescent="0.25">
      <c r="A140" t="s">
        <v>171</v>
      </c>
      <c r="B140" s="1" t="str">
        <f t="shared" si="8"/>
        <v>level 7 - #necromancy Casting Time: Action Range: 60 feet Components: V, S Duration: Instantaneous 
You unleash negative energy toward a creature you can see within range. The target makes a Constitution saving throw, taking 7d8 + 30 Necrotic damage on a failed save or half as much damage on a successful one. 
A Humanoid killed by this spell rises at the start of your next turn as a Zombie that follows your verbal orders._x000D_
#Sorcerer #Warlock #Wizard</v>
      </c>
      <c r="C140" t="str">
        <f t="shared" si="9"/>
        <v>level 7</v>
      </c>
      <c r="D140" s="1" t="s">
        <v>172</v>
      </c>
      <c r="E140" t="str">
        <f t="shared" si="10"/>
        <v>level 7</v>
      </c>
      <c r="F140" t="str">
        <f t="shared" si="11"/>
        <v>NULL</v>
      </c>
      <c r="G140" t="str">
        <f>_xlfn.TEXTJOIN(" ",TRUE,IF(IFERROR(MATCH(SUBSTITUTE(A140,".md",""),'Bard Spells'!A:A,0),0)&gt;0,"#Bard",""),IF(IFERROR(MATCH(SUBSTITUTE(A140,".md",""),'Cleric Spells'!A:A,0),0)&gt;0,"#Cleric",""),IF(IFERROR(MATCH(SUBSTITUTE(A140,".md",""),'Druid Spells'!A:A,0),0)&gt;0,"#Druid",""),IF(IFERROR(MATCH(SUBSTITUTE(A140,".md",""),'Paladin Spells'!A:A,0),0)&gt;0,"#Paladin",""),IF(IFERROR(MATCH(SUBSTITUTE(A140,".md",""),'Ranger Spells'!A:A,0),0)&gt;0,"#Ranger",""),IF(IFERROR(MATCH(SUBSTITUTE(A140,".md",""),'Sorcerer Spells'!A:A,0),0)&gt;0,"#Sorcerer",""),IF(IFERROR(MATCH(SUBSTITUTE(A140,".md",""),'Warlock Spells'!A:A,0),0)&gt;0,"#Warlock",""),IF(IFERROR(MATCH(SUBSTITUTE(A140,".md",""),'Wizard Spells'!A:A,0),0)&gt;0,"#Wizard",""))</f>
        <v>#Sorcerer #Warlock #Wizard</v>
      </c>
    </row>
    <row r="141" spans="1:7" ht="120" x14ac:dyDescent="0.25">
      <c r="A141" t="s">
        <v>173</v>
      </c>
      <c r="B141" s="1" t="str">
        <f t="shared" si="8"/>
        <v>level 0 - #evocation Casting Time: Action Range: 120 feet Components: V, S Duration: Instantaneous 
You hurl a mote of fire at a creature or an object within range. Make a ranged spell attack against the target. On a hit, the target takes 1d10 Fire damage. A flammable object hit by this spell starts burning if it isn't being worn or carried. 
**Cantrip Upgrade.** The damage increases by 1d10 when you reach levels 5 (2d10), 11 (3d10), and 17 (4d10)_x000D_
#Sorcerer #Wizard</v>
      </c>
      <c r="C141" t="str">
        <f t="shared" si="9"/>
        <v>level 0</v>
      </c>
      <c r="D141" s="1" t="s">
        <v>174</v>
      </c>
      <c r="E141" t="str">
        <f t="shared" si="10"/>
        <v>level 0</v>
      </c>
      <c r="F141" t="str">
        <f t="shared" si="11"/>
        <v>NULL</v>
      </c>
      <c r="G141" t="str">
        <f>_xlfn.TEXTJOIN(" ",TRUE,IF(IFERROR(MATCH(SUBSTITUTE(A141,".md",""),'Bard Spells'!A:A,0),0)&gt;0,"#Bard",""),IF(IFERROR(MATCH(SUBSTITUTE(A141,".md",""),'Cleric Spells'!A:A,0),0)&gt;0,"#Cleric",""),IF(IFERROR(MATCH(SUBSTITUTE(A141,".md",""),'Druid Spells'!A:A,0),0)&gt;0,"#Druid",""),IF(IFERROR(MATCH(SUBSTITUTE(A141,".md",""),'Paladin Spells'!A:A,0),0)&gt;0,"#Paladin",""),IF(IFERROR(MATCH(SUBSTITUTE(A141,".md",""),'Ranger Spells'!A:A,0),0)&gt;0,"#Ranger",""),IF(IFERROR(MATCH(SUBSTITUTE(A141,".md",""),'Sorcerer Spells'!A:A,0),0)&gt;0,"#Sorcerer",""),IF(IFERROR(MATCH(SUBSTITUTE(A141,".md",""),'Warlock Spells'!A:A,0),0)&gt;0,"#Warlock",""),IF(IFERROR(MATCH(SUBSTITUTE(A141,".md",""),'Wizard Spells'!A:A,0),0)&gt;0,"#Wizard",""))</f>
        <v>#Sorcerer #Wizard</v>
      </c>
    </row>
    <row r="142" spans="1:7" ht="120" x14ac:dyDescent="0.25">
      <c r="A142" t="s">
        <v>175</v>
      </c>
      <c r="B142" s="1" t="str">
        <f t="shared" si="8"/>
        <v>level 4 - #evocation Casting Time: Action Range: Self Components: V, S, M (a bit of phosphorus or a firefly) Duration: 10 minutes 
Wispy flames wreathe your body for the duration, shedding Bright Light in a 10-foot radius and Dim Light for an additional 10 feet. The flames provide you with a warm shield or a chill shield, as you choose. The warm shield grants you Resistance to Cold damage, and the chill shield grants you Resistance to Fire damage. 
In addition, whenever a creature within 5 feet of you hits you with a melee attack roll, the shield erupts with flame. The attacker takes 2d8 Fire damage from a warm shield or 2d8 Cold damage from a chill shield._x000D_
#Druid #Sorcerer #Wizard</v>
      </c>
      <c r="C142" t="str">
        <f t="shared" si="9"/>
        <v>level 4</v>
      </c>
      <c r="D142" s="1" t="s">
        <v>637</v>
      </c>
      <c r="E142" t="str">
        <f t="shared" si="10"/>
        <v>level 4</v>
      </c>
      <c r="F142" t="str">
        <f t="shared" si="11"/>
        <v>NULL</v>
      </c>
      <c r="G142" t="str">
        <f>_xlfn.TEXTJOIN(" ",TRUE,IF(IFERROR(MATCH(SUBSTITUTE(A142,".md",""),'Bard Spells'!A:A,0),0)&gt;0,"#Bard",""),IF(IFERROR(MATCH(SUBSTITUTE(A142,".md",""),'Cleric Spells'!A:A,0),0)&gt;0,"#Cleric",""),IF(IFERROR(MATCH(SUBSTITUTE(A142,".md",""),'Druid Spells'!A:A,0),0)&gt;0,"#Druid",""),IF(IFERROR(MATCH(SUBSTITUTE(A142,".md",""),'Paladin Spells'!A:A,0),0)&gt;0,"#Paladin",""),IF(IFERROR(MATCH(SUBSTITUTE(A142,".md",""),'Ranger Spells'!A:A,0),0)&gt;0,"#Ranger",""),IF(IFERROR(MATCH(SUBSTITUTE(A142,".md",""),'Sorcerer Spells'!A:A,0),0)&gt;0,"#Sorcerer",""),IF(IFERROR(MATCH(SUBSTITUTE(A142,".md",""),'Warlock Spells'!A:A,0),0)&gt;0,"#Warlock",""),IF(IFERROR(MATCH(SUBSTITUTE(A142,".md",""),'Wizard Spells'!A:A,0),0)&gt;0,"#Wizard",""))</f>
        <v>#Druid #Sorcerer #Wizard</v>
      </c>
    </row>
    <row r="143" spans="1:7" ht="135" x14ac:dyDescent="0.25">
      <c r="A143" t="s">
        <v>176</v>
      </c>
      <c r="B143" s="1" t="str">
        <f t="shared" si="8"/>
        <v>level 3 - #evocation Casting Time: Action Range: 150 feet Components: V, S, M (a ball of bat guano and sulfur) Duration: Instantaneous 
A bright streak flashes from you to a point you choose within range and then blossoms with a low roar into a fiery explosion. Each creature in a 20-foot-radius Sphere centered on that point makes a Dexterity saving throw, taking 8d6 Fire damage on a failed save or half as much damage on a successful one. Flammable objects in the area that aren't being worn or carried start burning. 
Using a Higher-Level Spell Slot. The damage increases by 1d6 for each spell slot level above 3._x000D_
#Sorcerer #Wizard</v>
      </c>
      <c r="C143" t="str">
        <f t="shared" si="9"/>
        <v>level 3</v>
      </c>
      <c r="D143" s="1" t="s">
        <v>177</v>
      </c>
      <c r="E143" t="str">
        <f t="shared" si="10"/>
        <v>level 3</v>
      </c>
      <c r="F143" t="str">
        <f t="shared" si="11"/>
        <v>NULL</v>
      </c>
      <c r="G143" t="str">
        <f>_xlfn.TEXTJOIN(" ",TRUE,IF(IFERROR(MATCH(SUBSTITUTE(A143,".md",""),'Bard Spells'!A:A,0),0)&gt;0,"#Bard",""),IF(IFERROR(MATCH(SUBSTITUTE(A143,".md",""),'Cleric Spells'!A:A,0),0)&gt;0,"#Cleric",""),IF(IFERROR(MATCH(SUBSTITUTE(A143,".md",""),'Druid Spells'!A:A,0),0)&gt;0,"#Druid",""),IF(IFERROR(MATCH(SUBSTITUTE(A143,".md",""),'Paladin Spells'!A:A,0),0)&gt;0,"#Paladin",""),IF(IFERROR(MATCH(SUBSTITUTE(A143,".md",""),'Ranger Spells'!A:A,0),0)&gt;0,"#Ranger",""),IF(IFERROR(MATCH(SUBSTITUTE(A143,".md",""),'Sorcerer Spells'!A:A,0),0)&gt;0,"#Sorcerer",""),IF(IFERROR(MATCH(SUBSTITUTE(A143,".md",""),'Warlock Spells'!A:A,0),0)&gt;0,"#Warlock",""),IF(IFERROR(MATCH(SUBSTITUTE(A143,".md",""),'Wizard Spells'!A:A,0),0)&gt;0,"#Wizard",""))</f>
        <v>#Sorcerer #Wizard</v>
      </c>
    </row>
    <row r="144" spans="1:7" ht="150" x14ac:dyDescent="0.25">
      <c r="A144" t="s">
        <v>178</v>
      </c>
      <c r="B144" s="1" t="str">
        <f t="shared" si="8"/>
        <v>level 2 - #evocation Casting Time: #BonusAction Range: Self Components: V, S, M (a sumac leaf) Duration: #Concentration, up to 10 minutes 
You evoke a fiery blade in your free hand. The blade is similar in size and shape to a scimitar, and it lasts for the duration. If you let go of the blade, it disappears, but you can evoke it again as a Bonus Action. 
As a Magic action, you can make a melee spell attack with the fiery blade. On a hit, the target takes Fire damage equal to 3d6 plus your spellcasting ability modifier. 
The flaming blade sheds Bright Light in a 10-foot radius and Dim Light for an additional 10 feet. 
Using a Higher-Level Spell Slot. The damage increases by 1d6 for each spell slot level above 2._x000D_
#Druid #Sorcerer</v>
      </c>
      <c r="C144" t="str">
        <f t="shared" si="9"/>
        <v>level 2</v>
      </c>
      <c r="D144" s="1" t="s">
        <v>1164</v>
      </c>
      <c r="E144" t="str">
        <f t="shared" si="10"/>
        <v>level 2</v>
      </c>
      <c r="F144" t="str">
        <f t="shared" si="11"/>
        <v>NULL</v>
      </c>
      <c r="G144" t="str">
        <f>_xlfn.TEXTJOIN(" ",TRUE,IF(IFERROR(MATCH(SUBSTITUTE(A144,".md",""),'Bard Spells'!A:A,0),0)&gt;0,"#Bard",""),IF(IFERROR(MATCH(SUBSTITUTE(A144,".md",""),'Cleric Spells'!A:A,0),0)&gt;0,"#Cleric",""),IF(IFERROR(MATCH(SUBSTITUTE(A144,".md",""),'Druid Spells'!A:A,0),0)&gt;0,"#Druid",""),IF(IFERROR(MATCH(SUBSTITUTE(A144,".md",""),'Paladin Spells'!A:A,0),0)&gt;0,"#Paladin",""),IF(IFERROR(MATCH(SUBSTITUTE(A144,".md",""),'Ranger Spells'!A:A,0),0)&gt;0,"#Ranger",""),IF(IFERROR(MATCH(SUBSTITUTE(A144,".md",""),'Sorcerer Spells'!A:A,0),0)&gt;0,"#Sorcerer",""),IF(IFERROR(MATCH(SUBSTITUTE(A144,".md",""),'Warlock Spells'!A:A,0),0)&gt;0,"#Warlock",""),IF(IFERROR(MATCH(SUBSTITUTE(A144,".md",""),'Wizard Spells'!A:A,0),0)&gt;0,"#Wizard",""))</f>
        <v>#Druid #Sorcerer</v>
      </c>
    </row>
    <row r="145" spans="1:7" ht="135" x14ac:dyDescent="0.25">
      <c r="A145" t="s">
        <v>179</v>
      </c>
      <c r="B145" s="1" t="str">
        <f t="shared" si="8"/>
        <v>level 5 - #evocation Casting Time: Action Range: 60 feet Components: V, S, M (a pinch of sulfur) Duration: Instantaneous 
A vertical column of brilliant fire roars down from above. Each creature in a 10-foot-radius, 40-foot-high Cylinder centered on a point within range makes a Dexterity saving throw, taking 5d6 Fire damage and 5d6 Radiant damage on a failed save or half as much damage on a successful one. 
Using a Higher-Level Spell Slot. The Fire damage and the Radiant damage increase by 1d6 for each spell slot level above 5_x000D_
#Cleric</v>
      </c>
      <c r="C145" t="str">
        <f t="shared" si="9"/>
        <v>level 5</v>
      </c>
      <c r="D145" s="1" t="s">
        <v>180</v>
      </c>
      <c r="E145" t="str">
        <f t="shared" si="10"/>
        <v>level 5</v>
      </c>
      <c r="F145" t="str">
        <f t="shared" si="11"/>
        <v>NULL</v>
      </c>
      <c r="G145" t="str">
        <f>_xlfn.TEXTJOIN(" ",TRUE,IF(IFERROR(MATCH(SUBSTITUTE(A145,".md",""),'Bard Spells'!A:A,0),0)&gt;0,"#Bard",""),IF(IFERROR(MATCH(SUBSTITUTE(A145,".md",""),'Cleric Spells'!A:A,0),0)&gt;0,"#Cleric",""),IF(IFERROR(MATCH(SUBSTITUTE(A145,".md",""),'Druid Spells'!A:A,0),0)&gt;0,"#Druid",""),IF(IFERROR(MATCH(SUBSTITUTE(A145,".md",""),'Paladin Spells'!A:A,0),0)&gt;0,"#Paladin",""),IF(IFERROR(MATCH(SUBSTITUTE(A145,".md",""),'Ranger Spells'!A:A,0),0)&gt;0,"#Ranger",""),IF(IFERROR(MATCH(SUBSTITUTE(A145,".md",""),'Sorcerer Spells'!A:A,0),0)&gt;0,"#Sorcerer",""),IF(IFERROR(MATCH(SUBSTITUTE(A145,".md",""),'Warlock Spells'!A:A,0),0)&gt;0,"#Warlock",""),IF(IFERROR(MATCH(SUBSTITUTE(A145,".md",""),'Wizard Spells'!A:A,0),0)&gt;0,"#Wizard",""))</f>
        <v>#Cleric</v>
      </c>
    </row>
    <row r="146" spans="1:7" ht="195" x14ac:dyDescent="0.25">
      <c r="A146" t="s">
        <v>181</v>
      </c>
      <c r="B146" s="1" t="str">
        <f t="shared" si="8"/>
        <v>level 2 - #conjuration Casting Time: Action Range: 60 feet Components: V, S, M (a ball of wax) Duration: #Concentration, up to 1 minute 
You create a 5-foot-diameter sphere of fire in an unoccupied space on the ground within range. It lasts for the duration. Any creature that ends its turn within 5 feet of the sphere makes a Dexterity saving throw, taking 2d6 Fire damage on a failed save or half as much damage on a successful one. 
As a Bonus Action, you can move the sphere up to 30 feet, rolling it along the ground. If you move the sphere into a creature's space, that creature makes the save against the sphere, and the sphere stops moving for the turn. 
When you move the sphere, you can direct it over barriers up to 5 feet tall and jump it across pits up to 10 feet wide. Flammable objects that aren't being worn or carried start burning if touched by the sphere, and it sheds Bright Light in a 20-foot radius and Dim Light for an additional 20 feet. 
Using a Higher-Level Spell Slot. The damage increases by 1d6 for each spell slot level above 2._x000D_
#Druid #Sorcerer #Wizard</v>
      </c>
      <c r="C146" t="str">
        <f t="shared" si="9"/>
        <v>level 2</v>
      </c>
      <c r="D146" s="1" t="s">
        <v>182</v>
      </c>
      <c r="E146" t="str">
        <f t="shared" si="10"/>
        <v>level 2</v>
      </c>
      <c r="F146" t="str">
        <f t="shared" si="11"/>
        <v>NULL</v>
      </c>
      <c r="G146" t="str">
        <f>_xlfn.TEXTJOIN(" ",TRUE,IF(IFERROR(MATCH(SUBSTITUTE(A146,".md",""),'Bard Spells'!A:A,0),0)&gt;0,"#Bard",""),IF(IFERROR(MATCH(SUBSTITUTE(A146,".md",""),'Cleric Spells'!A:A,0),0)&gt;0,"#Cleric",""),IF(IFERROR(MATCH(SUBSTITUTE(A146,".md",""),'Druid Spells'!A:A,0),0)&gt;0,"#Druid",""),IF(IFERROR(MATCH(SUBSTITUTE(A146,".md",""),'Paladin Spells'!A:A,0),0)&gt;0,"#Paladin",""),IF(IFERROR(MATCH(SUBSTITUTE(A146,".md",""),'Ranger Spells'!A:A,0),0)&gt;0,"#Ranger",""),IF(IFERROR(MATCH(SUBSTITUTE(A146,".md",""),'Sorcerer Spells'!A:A,0),0)&gt;0,"#Sorcerer",""),IF(IFERROR(MATCH(SUBSTITUTE(A146,".md",""),'Warlock Spells'!A:A,0),0)&gt;0,"#Warlock",""),IF(IFERROR(MATCH(SUBSTITUTE(A146,".md",""),'Wizard Spells'!A:A,0),0)&gt;0,"#Wizard",""))</f>
        <v>#Druid #Sorcerer #Wizard</v>
      </c>
    </row>
    <row r="147" spans="1:7" ht="150" x14ac:dyDescent="0.25">
      <c r="A147" t="s">
        <v>183</v>
      </c>
      <c r="B147" s="1" t="str">
        <f t="shared" si="8"/>
        <v>level 6 - #transmutation Casting Time: Action Range: 60 feet Components: V, S, M (a cockatrice feather) Duration: #Concentration, up to 1 minute 
You attempt to turn one creature that you can see within range into stone. The target makes a Constitution saving throw. On a failed save, it has the Restrained condition for the duration. On a successful save, its Speed is 0 until the start of your next turn. Constructs automatically succeed on the save. 
A Restrained target makes another Constitution saving throw at the end of each of its turns. If it successfully saves against this spell three times, the spell ends. If it fails its saves three times, it is turned to stone and has the Petrified condition for the duration. The successes and failures needn't be consecutive; keep track of both until the target collects three of a kind. 
If you maintain your #Concentration on this spell for the entire possible duration, the target is Petrified until the condition is ended by Greater Restoration or similar magic._x000D_
#Druid #Sorcerer #Wizard</v>
      </c>
      <c r="C147" t="str">
        <f t="shared" si="9"/>
        <v>level 6</v>
      </c>
      <c r="D147" s="1" t="s">
        <v>702</v>
      </c>
      <c r="E147" t="str">
        <f t="shared" si="10"/>
        <v>level 6</v>
      </c>
      <c r="F147" t="str">
        <f t="shared" si="11"/>
        <v>NULL</v>
      </c>
      <c r="G147" t="str">
        <f>_xlfn.TEXTJOIN(" ",TRUE,IF(IFERROR(MATCH(SUBSTITUTE(A147,".md",""),'Bard Spells'!A:A,0),0)&gt;0,"#Bard",""),IF(IFERROR(MATCH(SUBSTITUTE(A147,".md",""),'Cleric Spells'!A:A,0),0)&gt;0,"#Cleric",""),IF(IFERROR(MATCH(SUBSTITUTE(A147,".md",""),'Druid Spells'!A:A,0),0)&gt;0,"#Druid",""),IF(IFERROR(MATCH(SUBSTITUTE(A147,".md",""),'Paladin Spells'!A:A,0),0)&gt;0,"#Paladin",""),IF(IFERROR(MATCH(SUBSTITUTE(A147,".md",""),'Ranger Spells'!A:A,0),0)&gt;0,"#Ranger",""),IF(IFERROR(MATCH(SUBSTITUTE(A147,".md",""),'Sorcerer Spells'!A:A,0),0)&gt;0,"#Sorcerer",""),IF(IFERROR(MATCH(SUBSTITUTE(A147,".md",""),'Warlock Spells'!A:A,0),0)&gt;0,"#Warlock",""),IF(IFERROR(MATCH(SUBSTITUTE(A147,".md",""),'Wizard Spells'!A:A,0),0)&gt;0,"#Wizard",""))</f>
        <v>#Druid #Sorcerer #Wizard</v>
      </c>
    </row>
    <row r="148" spans="1:7" ht="120" x14ac:dyDescent="0.25">
      <c r="A148" t="s">
        <v>184</v>
      </c>
      <c r="B148" s="1" t="str">
        <f t="shared" si="8"/>
        <v>level 3 - #transmutation Casting Time: Action Range: Touch Components: V, S, M (a feather) Duration: #Concentration, up to 10 minutes 
You touch a willing creature. For the duration, the target gains a Fly Speed of 60 feet and can hover. When the spell ends, the target falls if it is still aloft unless it can stop the fall. 
Using a Higher-Level Spell Slot. You can target one additional creature for each spell slot level above 3_x000D_
#Sorcerer #Warlock #Wizard</v>
      </c>
      <c r="C148" t="str">
        <f t="shared" si="9"/>
        <v>level 3</v>
      </c>
      <c r="D148" s="1" t="s">
        <v>638</v>
      </c>
      <c r="E148" t="str">
        <f t="shared" si="10"/>
        <v>level 3</v>
      </c>
      <c r="F148" t="str">
        <f t="shared" si="11"/>
        <v>NULL</v>
      </c>
      <c r="G148" t="str">
        <f>_xlfn.TEXTJOIN(" ",TRUE,IF(IFERROR(MATCH(SUBSTITUTE(A148,".md",""),'Bard Spells'!A:A,0),0)&gt;0,"#Bard",""),IF(IFERROR(MATCH(SUBSTITUTE(A148,".md",""),'Cleric Spells'!A:A,0),0)&gt;0,"#Cleric",""),IF(IFERROR(MATCH(SUBSTITUTE(A148,".md",""),'Druid Spells'!A:A,0),0)&gt;0,"#Druid",""),IF(IFERROR(MATCH(SUBSTITUTE(A148,".md",""),'Paladin Spells'!A:A,0),0)&gt;0,"#Paladin",""),IF(IFERROR(MATCH(SUBSTITUTE(A148,".md",""),'Ranger Spells'!A:A,0),0)&gt;0,"#Ranger",""),IF(IFERROR(MATCH(SUBSTITUTE(A148,".md",""),'Sorcerer Spells'!A:A,0),0)&gt;0,"#Sorcerer",""),IF(IFERROR(MATCH(SUBSTITUTE(A148,".md",""),'Warlock Spells'!A:A,0),0)&gt;0,"#Warlock",""),IF(IFERROR(MATCH(SUBSTITUTE(A148,".md",""),'Wizard Spells'!A:A,0),0)&gt;0,"#Wizard",""))</f>
        <v>#Sorcerer #Warlock #Wizard</v>
      </c>
    </row>
    <row r="149" spans="1:7" ht="120" x14ac:dyDescent="0.25">
      <c r="A149" t="s">
        <v>185</v>
      </c>
      <c r="B149" s="1" t="str">
        <f t="shared" si="8"/>
        <v>level 1 - #conjuration Casting Time: Action Range: 120 feet Components: V, S Duration: #Concentration, up to 1 hour 
You create a 20-foot-radius Sphere of fog centered on a point within range. The Sphere is Heavily Obscured. It lasts for the duration or until a strong wind (such as one created by Gust of Wind) disperses it. 
Using a Higher-Level Spell Slot. The fog's radius increases by 20 feet for each spell slot level above 1_x000D_
#Druid #Ranger #Sorcerer #Wizard</v>
      </c>
      <c r="C149" t="str">
        <f t="shared" si="9"/>
        <v>level 1</v>
      </c>
      <c r="D149" s="1" t="s">
        <v>186</v>
      </c>
      <c r="E149" t="str">
        <f t="shared" si="10"/>
        <v>level 1</v>
      </c>
      <c r="F149" t="str">
        <f t="shared" si="11"/>
        <v>NULL</v>
      </c>
      <c r="G149" t="str">
        <f>_xlfn.TEXTJOIN(" ",TRUE,IF(IFERROR(MATCH(SUBSTITUTE(A149,".md",""),'Bard Spells'!A:A,0),0)&gt;0,"#Bard",""),IF(IFERROR(MATCH(SUBSTITUTE(A149,".md",""),'Cleric Spells'!A:A,0),0)&gt;0,"#Cleric",""),IF(IFERROR(MATCH(SUBSTITUTE(A149,".md",""),'Druid Spells'!A:A,0),0)&gt;0,"#Druid",""),IF(IFERROR(MATCH(SUBSTITUTE(A149,".md",""),'Paladin Spells'!A:A,0),0)&gt;0,"#Paladin",""),IF(IFERROR(MATCH(SUBSTITUTE(A149,".md",""),'Ranger Spells'!A:A,0),0)&gt;0,"#Ranger",""),IF(IFERROR(MATCH(SUBSTITUTE(A149,".md",""),'Sorcerer Spells'!A:A,0),0)&gt;0,"#Sorcerer",""),IF(IFERROR(MATCH(SUBSTITUTE(A149,".md",""),'Warlock Spells'!A:A,0),0)&gt;0,"#Warlock",""),IF(IFERROR(MATCH(SUBSTITUTE(A149,".md",""),'Wizard Spells'!A:A,0),0)&gt;0,"#Wizard",""))</f>
        <v>#Druid #Ranger #Sorcerer #Wizard</v>
      </c>
    </row>
    <row r="150" spans="1:7" ht="195" x14ac:dyDescent="0.25">
      <c r="A150" t="s">
        <v>187</v>
      </c>
      <c r="B150" s="1" t="str">
        <f t="shared" si="8"/>
        <v>level 6 - #abjuration ( #ritual ) Casting Time: 10 minutes or Ritual Range: Touch Components: V, S, M (ruby dust worth 1,000+ GP) Duration: 1 day 
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the Ethereal Plane, the Feywild, the Shadowfell, or the Plane Shift spell.
In addition, the spell damages types of creatures that you choose when you cast it. Choose one or more of the following: Aberrations, Celestials, Elementals, Fey, Fiends, and Undead. When a creature of a chosen type enters the spell's area for the first time on a turn or ends its turn there, the creature takes 5d10 Radiant or Necrotic damage (your choice when you cast this spell).
You can designate a password when you cast the spell.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
#Cleric</v>
      </c>
      <c r="C150" t="str">
        <f t="shared" si="9"/>
        <v>level 6</v>
      </c>
      <c r="D150" s="1" t="s">
        <v>1218</v>
      </c>
      <c r="E150" t="str">
        <f t="shared" si="10"/>
        <v>level 6</v>
      </c>
      <c r="F150" t="str">
        <f t="shared" si="11"/>
        <v>NULL</v>
      </c>
      <c r="G150" t="str">
        <f>_xlfn.TEXTJOIN(" ",TRUE,IF(IFERROR(MATCH(SUBSTITUTE(A150,".md",""),'Bard Spells'!A:A,0),0)&gt;0,"#Bard",""),IF(IFERROR(MATCH(SUBSTITUTE(A150,".md",""),'Cleric Spells'!A:A,0),0)&gt;0,"#Cleric",""),IF(IFERROR(MATCH(SUBSTITUTE(A150,".md",""),'Druid Spells'!A:A,0),0)&gt;0,"#Druid",""),IF(IFERROR(MATCH(SUBSTITUTE(A150,".md",""),'Paladin Spells'!A:A,0),0)&gt;0,"#Paladin",""),IF(IFERROR(MATCH(SUBSTITUTE(A150,".md",""),'Ranger Spells'!A:A,0),0)&gt;0,"#Ranger",""),IF(IFERROR(MATCH(SUBSTITUTE(A150,".md",""),'Sorcerer Spells'!A:A,0),0)&gt;0,"#Sorcerer",""),IF(IFERROR(MATCH(SUBSTITUTE(A150,".md",""),'Warlock Spells'!A:A,0),0)&gt;0,"#Warlock",""),IF(IFERROR(MATCH(SUBSTITUTE(A150,".md",""),'Wizard Spells'!A:A,0),0)&gt;0,"#Wizard",""))</f>
        <v>#Cleric</v>
      </c>
    </row>
    <row r="151" spans="1:7" ht="195" x14ac:dyDescent="0.25">
      <c r="A151" t="s">
        <v>188</v>
      </c>
      <c r="B151" s="1" t="str">
        <f t="shared" si="8"/>
        <v>level 7 - #evocation Casting Time: Action Range: 100 feet Components: V, S, M (ruby dust worth 1,500+ GP, which the spell consumes) Duration: 1 hour 
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from the area. 
When you cast the spell, any creature that is completely inside the cage's area is trapped. Creatures only partially within the area, or those too large to fit inside it, are pushed away from the center of the area until they are completely outside it. 
A creature inside the cage can't leave it by nonmagical means. If the creature tries to use teleportation or interplanar travel to leave, it must first make a Charisma saving throw. On a successful save, the creature can use that magic to exit the cage. On a failed save, the creature doesn't exit the cage and wastes the spell or effect. The cage also extends into the Ethereal Plane, blocking ethereal travel. This spell can't be dispelled by Dispel Magic_x000D_
#Bard #Warlock #Wizard</v>
      </c>
      <c r="C151" t="str">
        <f t="shared" si="9"/>
        <v>level 7</v>
      </c>
      <c r="D151" s="1" t="s">
        <v>189</v>
      </c>
      <c r="E151" t="str">
        <f t="shared" si="10"/>
        <v>level 7</v>
      </c>
      <c r="F151" t="str">
        <f t="shared" si="11"/>
        <v>NULL</v>
      </c>
      <c r="G151" t="str">
        <f>_xlfn.TEXTJOIN(" ",TRUE,IF(IFERROR(MATCH(SUBSTITUTE(A151,".md",""),'Bard Spells'!A:A,0),0)&gt;0,"#Bard",""),IF(IFERROR(MATCH(SUBSTITUTE(A151,".md",""),'Cleric Spells'!A:A,0),0)&gt;0,"#Cleric",""),IF(IFERROR(MATCH(SUBSTITUTE(A151,".md",""),'Druid Spells'!A:A,0),0)&gt;0,"#Druid",""),IF(IFERROR(MATCH(SUBSTITUTE(A151,".md",""),'Paladin Spells'!A:A,0),0)&gt;0,"#Paladin",""),IF(IFERROR(MATCH(SUBSTITUTE(A151,".md",""),'Ranger Spells'!A:A,0),0)&gt;0,"#Ranger",""),IF(IFERROR(MATCH(SUBSTITUTE(A151,".md",""),'Sorcerer Spells'!A:A,0),0)&gt;0,"#Sorcerer",""),IF(IFERROR(MATCH(SUBSTITUTE(A151,".md",""),'Warlock Spells'!A:A,0),0)&gt;0,"#Warlock",""),IF(IFERROR(MATCH(SUBSTITUTE(A151,".md",""),'Wizard Spells'!A:A,0),0)&gt;0,"#Wizard",""))</f>
        <v>#Bard #Warlock #Wizard</v>
      </c>
    </row>
    <row r="152" spans="1:7" ht="105" x14ac:dyDescent="0.25">
      <c r="A152" t="s">
        <v>190</v>
      </c>
      <c r="B152" s="1" t="str">
        <f t="shared" si="8"/>
        <v>level 9 - #divination Casting Time: 1 minute Range: Touch Components: V, S, M (a hummingbird feather) Duration: 8 hours 
You touch a willing creature and bestow a limited ability to see into the immediate future. For the duration, the target has Advantage on D20 Tests, and other creatures have Disadvantage on attack rolls against it. The spell ends early if you cast it again_x000D_
#Bard #Druid #Warlock #Wizard</v>
      </c>
      <c r="C152" t="str">
        <f t="shared" si="9"/>
        <v>level 9</v>
      </c>
      <c r="D152" s="1" t="s">
        <v>191</v>
      </c>
      <c r="E152" t="str">
        <f t="shared" si="10"/>
        <v>level 9</v>
      </c>
      <c r="F152" t="str">
        <f t="shared" si="11"/>
        <v>NULL</v>
      </c>
      <c r="G152" t="str">
        <f>_xlfn.TEXTJOIN(" ",TRUE,IF(IFERROR(MATCH(SUBSTITUTE(A152,".md",""),'Bard Spells'!A:A,0),0)&gt;0,"#Bard",""),IF(IFERROR(MATCH(SUBSTITUTE(A152,".md",""),'Cleric Spells'!A:A,0),0)&gt;0,"#Cleric",""),IF(IFERROR(MATCH(SUBSTITUTE(A152,".md",""),'Druid Spells'!A:A,0),0)&gt;0,"#Druid",""),IF(IFERROR(MATCH(SUBSTITUTE(A152,".md",""),'Paladin Spells'!A:A,0),0)&gt;0,"#Paladin",""),IF(IFERROR(MATCH(SUBSTITUTE(A152,".md",""),'Ranger Spells'!A:A,0),0)&gt;0,"#Ranger",""),IF(IFERROR(MATCH(SUBSTITUTE(A152,".md",""),'Sorcerer Spells'!A:A,0),0)&gt;0,"#Sorcerer",""),IF(IFERROR(MATCH(SUBSTITUTE(A152,".md",""),'Warlock Spells'!A:A,0),0)&gt;0,"#Warlock",""),IF(IFERROR(MATCH(SUBSTITUTE(A152,".md",""),'Wizard Spells'!A:A,0),0)&gt;0,"#Wizard",""))</f>
        <v>#Bard #Druid #Warlock #Wizard</v>
      </c>
    </row>
    <row r="153" spans="1:7" ht="135" x14ac:dyDescent="0.25">
      <c r="A153" t="s">
        <v>192</v>
      </c>
      <c r="B153" s="1" t="str">
        <f t="shared" si="8"/>
        <v>level 4 - #evocation Casting Time: Action Range: Self Components: V, S Duration: #Concentration, up to 10 minutes 
A cool light wreathes your body for the duration, emitting Bright Light in a 20-foot radius and Dim Light for an additional 20 feet. Until the spell ends, you have Resistance to Radiant damage, and your melee attacks deal an extra 2d6 Radiant damage on a hit.
In addition, immediately after you take damage from a creature you can see within 60 feet of yourself, you can take a Reaction to force the creature to make a Constitution saving throw. On a failed save, the creature has the Blinded condition until the end of your next turn._x000D_
#Bard #Druid</v>
      </c>
      <c r="C153" t="str">
        <f t="shared" si="9"/>
        <v>level 4</v>
      </c>
      <c r="D153" s="1" t="s">
        <v>193</v>
      </c>
      <c r="E153" t="str">
        <f t="shared" si="10"/>
        <v>level 4</v>
      </c>
      <c r="F153" t="str">
        <f t="shared" si="11"/>
        <v>NULL</v>
      </c>
      <c r="G153" t="str">
        <f>_xlfn.TEXTJOIN(" ",TRUE,IF(IFERROR(MATCH(SUBSTITUTE(A153,".md",""),'Bard Spells'!A:A,0),0)&gt;0,"#Bard",""),IF(IFERROR(MATCH(SUBSTITUTE(A153,".md",""),'Cleric Spells'!A:A,0),0)&gt;0,"#Cleric",""),IF(IFERROR(MATCH(SUBSTITUTE(A153,".md",""),'Druid Spells'!A:A,0),0)&gt;0,"#Druid",""),IF(IFERROR(MATCH(SUBSTITUTE(A153,".md",""),'Paladin Spells'!A:A,0),0)&gt;0,"#Paladin",""),IF(IFERROR(MATCH(SUBSTITUTE(A153,".md",""),'Ranger Spells'!A:A,0),0)&gt;0,"#Ranger",""),IF(IFERROR(MATCH(SUBSTITUTE(A153,".md",""),'Sorcerer Spells'!A:A,0),0)&gt;0,"#Sorcerer",""),IF(IFERROR(MATCH(SUBSTITUTE(A153,".md",""),'Warlock Spells'!A:A,0),0)&gt;0,"#Warlock",""),IF(IFERROR(MATCH(SUBSTITUTE(A153,".md",""),'Wizard Spells'!A:A,0),0)&gt;0,"#Wizard",""))</f>
        <v>#Bard #Druid</v>
      </c>
    </row>
    <row r="154" spans="1:7" ht="150" x14ac:dyDescent="0.25">
      <c r="A154" t="s">
        <v>194</v>
      </c>
      <c r="B154" s="1" t="str">
        <f t="shared" si="8"/>
        <v>level 4 - #abjuration Casting Time: Action Range: Touch Components: V, S, M (a leather strap) Duration: 1 hour 
You touch a willing creature. For the duration, the target's movement is unaffected by Difficult Terrain, and spells and other magical effects can neither reduce the target's Speed nor cause the target to have the Paralyzed or Restrained conditions. The target also has a Swim Speed equal to its Speed. 
In addition, the target can spend 5 feet of movement to automatically escape from nonmagical restraints, such as manacles or a creature imposing the Grappled condition on it. 
Using a Higher-Level Spell Slot. You can target one additional creature for each spell slot level above 4._x000D_
#Bard #Cleric #Druid #Ranger</v>
      </c>
      <c r="C154" t="str">
        <f t="shared" si="9"/>
        <v>level 4</v>
      </c>
      <c r="D154" s="1" t="s">
        <v>195</v>
      </c>
      <c r="E154" t="str">
        <f t="shared" si="10"/>
        <v>level 4</v>
      </c>
      <c r="F154" t="str">
        <f t="shared" si="11"/>
        <v>NULL</v>
      </c>
      <c r="G154" t="str">
        <f>_xlfn.TEXTJOIN(" ",TRUE,IF(IFERROR(MATCH(SUBSTITUTE(A154,".md",""),'Bard Spells'!A:A,0),0)&gt;0,"#Bard",""),IF(IFERROR(MATCH(SUBSTITUTE(A154,".md",""),'Cleric Spells'!A:A,0),0)&gt;0,"#Cleric",""),IF(IFERROR(MATCH(SUBSTITUTE(A154,".md",""),'Druid Spells'!A:A,0),0)&gt;0,"#Druid",""),IF(IFERROR(MATCH(SUBSTITUTE(A154,".md",""),'Paladin Spells'!A:A,0),0)&gt;0,"#Paladin",""),IF(IFERROR(MATCH(SUBSTITUTE(A154,".md",""),'Ranger Spells'!A:A,0),0)&gt;0,"#Ranger",""),IF(IFERROR(MATCH(SUBSTITUTE(A154,".md",""),'Sorcerer Spells'!A:A,0),0)&gt;0,"#Sorcerer",""),IF(IFERROR(MATCH(SUBSTITUTE(A154,".md",""),'Warlock Spells'!A:A,0),0)&gt;0,"#Warlock",""),IF(IFERROR(MATCH(SUBSTITUTE(A154,".md",""),'Wizard Spells'!A:A,0),0)&gt;0,"#Wizard",""))</f>
        <v>#Bard #Cleric #Druid #Ranger</v>
      </c>
    </row>
    <row r="155" spans="1:7" ht="120" x14ac:dyDescent="0.25">
      <c r="A155" t="s">
        <v>196</v>
      </c>
      <c r="B155" s="1" t="str">
        <f t="shared" si="8"/>
        <v>level 0 - #enchantment Casting Time: Action Range: 10 feet Components: S, M (some makeup) Duration: #Concentration, up to 1 minute 
You magically emanate a sense of friendship toward one creature you can see within range. The target must succeed on a Wisdom saving throw or have the Charmed condition for the duration. The target succeeds automatically if it isn't a Humanoid, if you're fighting it, or if you have cast this spell on it within the past 24 hours. 
The spell ends early if the target takes damage or if you make an attack roll, deal damage, or force anyone to make a saving throw. When the spell ends, the target knows it was Charmed by you._x000D_
#Bard #Sorcerer #Warlock #Wizard</v>
      </c>
      <c r="C155" t="str">
        <f t="shared" si="9"/>
        <v>level 0</v>
      </c>
      <c r="D155" s="1" t="s">
        <v>197</v>
      </c>
      <c r="E155" t="str">
        <f t="shared" si="10"/>
        <v>level 0</v>
      </c>
      <c r="F155" t="str">
        <f t="shared" si="11"/>
        <v>NULL</v>
      </c>
      <c r="G155" t="str">
        <f>_xlfn.TEXTJOIN(" ",TRUE,IF(IFERROR(MATCH(SUBSTITUTE(A155,".md",""),'Bard Spells'!A:A,0),0)&gt;0,"#Bard",""),IF(IFERROR(MATCH(SUBSTITUTE(A155,".md",""),'Cleric Spells'!A:A,0),0)&gt;0,"#Cleric",""),IF(IFERROR(MATCH(SUBSTITUTE(A155,".md",""),'Druid Spells'!A:A,0),0)&gt;0,"#Druid",""),IF(IFERROR(MATCH(SUBSTITUTE(A155,".md",""),'Paladin Spells'!A:A,0),0)&gt;0,"#Paladin",""),IF(IFERROR(MATCH(SUBSTITUTE(A155,".md",""),'Ranger Spells'!A:A,0),0)&gt;0,"#Ranger",""),IF(IFERROR(MATCH(SUBSTITUTE(A155,".md",""),'Sorcerer Spells'!A:A,0),0)&gt;0,"#Sorcerer",""),IF(IFERROR(MATCH(SUBSTITUTE(A155,".md",""),'Warlock Spells'!A:A,0),0)&gt;0,"#Warlock",""),IF(IFERROR(MATCH(SUBSTITUTE(A155,".md",""),'Wizard Spells'!A:A,0),0)&gt;0,"#Wizard",""))</f>
        <v>#Bard #Sorcerer #Warlock #Wizard</v>
      </c>
    </row>
    <row r="156" spans="1:7" ht="195" x14ac:dyDescent="0.25">
      <c r="A156" t="s">
        <v>198</v>
      </c>
      <c r="B156" s="1" t="str">
        <f t="shared" si="8"/>
        <v>level 3 - #transmutation Casting Time: Action Range: Touch Components: V, S, M (a bit of gauze) Duration: #Concentration, up to 1 hour 
A willing creature you touch shape-shifts, along with everything it's wearing and carrying, into a misty cloud for the duration. The spell ends on the target if it drops to 0 Hit Points or if it takes a Magic action to end the spell on itself. 
While in this form, the target's only method of movement is a Fly Speed of 10 feet, and it can hover. The target can enter and occupy the space of another creature. The target has Resistance to Bludgeoning, Piercing, and Slashing damage; it has Immunity to the Prone condition; and it has Advantage on Strength, Dexterity, and Constitution saving throws. The target can pass through narrow openings, but it treats liquids as though they were solid surfaces. 
The target can't talk or manipulate objects, and any objects it was carrying or holding can't be dropped, used, or otherwise interacted with. Finally, the target can't attack or cast spells. 
Using a Higher-Level Spell Slot. You can target one additional creature for each spell slot level above 3._x000D_
#Sorcerer #Warlock #Wizard</v>
      </c>
      <c r="C156" t="str">
        <f t="shared" si="9"/>
        <v>level 3</v>
      </c>
      <c r="D156" s="1" t="s">
        <v>199</v>
      </c>
      <c r="E156" t="str">
        <f t="shared" si="10"/>
        <v>level 3</v>
      </c>
      <c r="F156" t="str">
        <f t="shared" si="11"/>
        <v>NULL</v>
      </c>
      <c r="G156" t="str">
        <f>_xlfn.TEXTJOIN(" ",TRUE,IF(IFERROR(MATCH(SUBSTITUTE(A156,".md",""),'Bard Spells'!A:A,0),0)&gt;0,"#Bard",""),IF(IFERROR(MATCH(SUBSTITUTE(A156,".md",""),'Cleric Spells'!A:A,0),0)&gt;0,"#Cleric",""),IF(IFERROR(MATCH(SUBSTITUTE(A156,".md",""),'Druid Spells'!A:A,0),0)&gt;0,"#Druid",""),IF(IFERROR(MATCH(SUBSTITUTE(A156,".md",""),'Paladin Spells'!A:A,0),0)&gt;0,"#Paladin",""),IF(IFERROR(MATCH(SUBSTITUTE(A156,".md",""),'Ranger Spells'!A:A,0),0)&gt;0,"#Ranger",""),IF(IFERROR(MATCH(SUBSTITUTE(A156,".md",""),'Sorcerer Spells'!A:A,0),0)&gt;0,"#Sorcerer",""),IF(IFERROR(MATCH(SUBSTITUTE(A156,".md",""),'Warlock Spells'!A:A,0),0)&gt;0,"#Warlock",""),IF(IFERROR(MATCH(SUBSTITUTE(A156,".md",""),'Wizard Spells'!A:A,0),0)&gt;0,"#Wizard",""))</f>
        <v>#Sorcerer #Warlock #Wizard</v>
      </c>
    </row>
    <row r="157" spans="1:7" ht="180" x14ac:dyDescent="0.25">
      <c r="A157" t="s">
        <v>200</v>
      </c>
      <c r="B157" s="1" t="str">
        <f t="shared" si="8"/>
        <v>level 9 - #conjuration Casting Time: Action Range: 60 feet Components: V, S, M (a diamond worth 5,000+ GP) Duration: #Concentration, up to 1 minute 
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and the portal's destination is visible through it.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next to the named creature and transports it to the nearest unoccupied space on your side of the portal. You gain no special power over the creature, and it is free to act as the DM deems appropriate. It might leave, attack you, or help you_x000D_
#Cleric #Sorcerer #Warlock #Wizard</v>
      </c>
      <c r="C157" t="str">
        <f t="shared" si="9"/>
        <v>level 9</v>
      </c>
      <c r="D157" s="1" t="s">
        <v>201</v>
      </c>
      <c r="E157" t="str">
        <f t="shared" si="10"/>
        <v>level 9</v>
      </c>
      <c r="F157" t="str">
        <f t="shared" si="11"/>
        <v>NULL</v>
      </c>
      <c r="G157" t="str">
        <f>_xlfn.TEXTJOIN(" ",TRUE,IF(IFERROR(MATCH(SUBSTITUTE(A157,".md",""),'Bard Spells'!A:A,0),0)&gt;0,"#Bard",""),IF(IFERROR(MATCH(SUBSTITUTE(A157,".md",""),'Cleric Spells'!A:A,0),0)&gt;0,"#Cleric",""),IF(IFERROR(MATCH(SUBSTITUTE(A157,".md",""),'Druid Spells'!A:A,0),0)&gt;0,"#Druid",""),IF(IFERROR(MATCH(SUBSTITUTE(A157,".md",""),'Paladin Spells'!A:A,0),0)&gt;0,"#Paladin",""),IF(IFERROR(MATCH(SUBSTITUTE(A157,".md",""),'Ranger Spells'!A:A,0),0)&gt;0,"#Ranger",""),IF(IFERROR(MATCH(SUBSTITUTE(A157,".md",""),'Sorcerer Spells'!A:A,0),0)&gt;0,"#Sorcerer",""),IF(IFERROR(MATCH(SUBSTITUTE(A157,".md",""),'Warlock Spells'!A:A,0),0)&gt;0,"#Warlock",""),IF(IFERROR(MATCH(SUBSTITUTE(A157,".md",""),'Wizard Spells'!A:A,0),0)&gt;0,"#Wizard",""))</f>
        <v>#Cleric #Sorcerer #Warlock #Wizard</v>
      </c>
    </row>
    <row r="158" spans="1:7" ht="180" x14ac:dyDescent="0.25">
      <c r="A158" t="s">
        <v>202</v>
      </c>
      <c r="B158" s="1" t="str">
        <f t="shared" si="8"/>
        <v>level 5 - #enchantment Casting Time: 1 minute Range: 60 feet Components: V Duration: 30 days 
You give a verbal command to a creature that you can see within range, ordering it to carry out some service or refrain from an action or a course of activity as you decide. The target must succeed on a Wisdom saving throw or have the Charmed condition for the duration. The target automatically succeeds if it can't understand your command. 
While Charmed, the creature takes 5d10 Psychic damage if it acts in a manner directly counter to your command. It takes this damage no more than once each day. 
You can issue any command you choose, short of an activity that would result in certain death. Should you issue a suicidal command, the spell ends. 
A *Remove Curse, Greater Restoration,* or *Wish* spell ends this spell. 
Using a Higher-Level Spell Slot. If you use a level 7 or 8 spell slot, the duration is 365 days. If you use a level 9 spell slot, the spell lasts until it is ended by one of the spells mentioned above._x000D_
#Bard #Cleric #Druid #Paladin #Wizard</v>
      </c>
      <c r="C158" t="str">
        <f t="shared" si="9"/>
        <v>level 5</v>
      </c>
      <c r="D158" s="1" t="s">
        <v>203</v>
      </c>
      <c r="E158" t="str">
        <f t="shared" si="10"/>
        <v>level 5</v>
      </c>
      <c r="F158" t="str">
        <f t="shared" si="11"/>
        <v>NULL</v>
      </c>
      <c r="G158" t="str">
        <f>_xlfn.TEXTJOIN(" ",TRUE,IF(IFERROR(MATCH(SUBSTITUTE(A158,".md",""),'Bard Spells'!A:A,0),0)&gt;0,"#Bard",""),IF(IFERROR(MATCH(SUBSTITUTE(A158,".md",""),'Cleric Spells'!A:A,0),0)&gt;0,"#Cleric",""),IF(IFERROR(MATCH(SUBSTITUTE(A158,".md",""),'Druid Spells'!A:A,0),0)&gt;0,"#Druid",""),IF(IFERROR(MATCH(SUBSTITUTE(A158,".md",""),'Paladin Spells'!A:A,0),0)&gt;0,"#Paladin",""),IF(IFERROR(MATCH(SUBSTITUTE(A158,".md",""),'Ranger Spells'!A:A,0),0)&gt;0,"#Ranger",""),IF(IFERROR(MATCH(SUBSTITUTE(A158,".md",""),'Sorcerer Spells'!A:A,0),0)&gt;0,"#Sorcerer",""),IF(IFERROR(MATCH(SUBSTITUTE(A158,".md",""),'Warlock Spells'!A:A,0),0)&gt;0,"#Warlock",""),IF(IFERROR(MATCH(SUBSTITUTE(A158,".md",""),'Wizard Spells'!A:A,0),0)&gt;0,"#Wizard",""))</f>
        <v>#Bard #Cleric #Druid #Paladin #Wizard</v>
      </c>
    </row>
    <row r="159" spans="1:7" ht="105" x14ac:dyDescent="0.25">
      <c r="A159" t="s">
        <v>204</v>
      </c>
      <c r="B159" s="1" t="str">
        <f t="shared" si="8"/>
        <v>level 2 - #necromancy ( #ritual ) Casting Time: Action or Ritual Range: Touch Components: V, S, M (2 copper pieces, which the spell consume) Duration: 10 days 
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Dead_x000D_
#Cleric #Paladin #Wizard</v>
      </c>
      <c r="C159" t="str">
        <f t="shared" si="9"/>
        <v>level 2</v>
      </c>
      <c r="D159" s="1" t="s">
        <v>650</v>
      </c>
      <c r="E159" t="str">
        <f t="shared" si="10"/>
        <v>level 2</v>
      </c>
      <c r="F159" t="str">
        <f t="shared" si="11"/>
        <v>NULL</v>
      </c>
      <c r="G159" t="str">
        <f>_xlfn.TEXTJOIN(" ",TRUE,IF(IFERROR(MATCH(SUBSTITUTE(A159,".md",""),'Bard Spells'!A:A,0),0)&gt;0,"#Bard",""),IF(IFERROR(MATCH(SUBSTITUTE(A159,".md",""),'Cleric Spells'!A:A,0),0)&gt;0,"#Cleric",""),IF(IFERROR(MATCH(SUBSTITUTE(A159,".md",""),'Druid Spells'!A:A,0),0)&gt;0,"#Druid",""),IF(IFERROR(MATCH(SUBSTITUTE(A159,".md",""),'Paladin Spells'!A:A,0),0)&gt;0,"#Paladin",""),IF(IFERROR(MATCH(SUBSTITUTE(A159,".md",""),'Ranger Spells'!A:A,0),0)&gt;0,"#Ranger",""),IF(IFERROR(MATCH(SUBSTITUTE(A159,".md",""),'Sorcerer Spells'!A:A,0),0)&gt;0,"#Sorcerer",""),IF(IFERROR(MATCH(SUBSTITUTE(A159,".md",""),'Warlock Spells'!A:A,0),0)&gt;0,"#Warlock",""),IF(IFERROR(MATCH(SUBSTITUTE(A159,".md",""),'Wizard Spells'!A:A,0),0)&gt;0,"#Wizard",""))</f>
        <v>#Cleric #Paladin #Wizard</v>
      </c>
    </row>
    <row r="160" spans="1:7" ht="150" x14ac:dyDescent="0.25">
      <c r="A160" t="s">
        <v>205</v>
      </c>
      <c r="B160" s="1" t="str">
        <f t="shared" si="8"/>
        <v>level 4 - #conjuration Casting Time: Action Range: 60 feet Components: V, S Duration: #Concentration, up to 10 minutes 
You summon a giant centipede, spider, or wasp (chosen when you cast the spell). It manifests in an unoccupied space you can see within range and uses the **Giant Insect** stat block. The form you choose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v>
      </c>
      <c r="C160" t="str">
        <f t="shared" si="9"/>
        <v>level 4</v>
      </c>
      <c r="D160" s="1" t="s">
        <v>206</v>
      </c>
      <c r="E160" t="str">
        <f t="shared" si="10"/>
        <v>level 4</v>
      </c>
      <c r="F160" t="str">
        <f t="shared" si="11"/>
        <v>NULL</v>
      </c>
      <c r="G160" t="str">
        <f>_xlfn.TEXTJOIN(" ",TRUE,IF(IFERROR(MATCH(SUBSTITUTE(A160,".md",""),'Bard Spells'!A:A,0),0)&gt;0,"#Bard",""),IF(IFERROR(MATCH(SUBSTITUTE(A160,".md",""),'Cleric Spells'!A:A,0),0)&gt;0,"#Cleric",""),IF(IFERROR(MATCH(SUBSTITUTE(A160,".md",""),'Druid Spells'!A:A,0),0)&gt;0,"#Druid",""),IF(IFERROR(MATCH(SUBSTITUTE(A160,".md",""),'Paladin Spells'!A:A,0),0)&gt;0,"#Paladin",""),IF(IFERROR(MATCH(SUBSTITUTE(A160,".md",""),'Ranger Spells'!A:A,0),0)&gt;0,"#Ranger",""),IF(IFERROR(MATCH(SUBSTITUTE(A160,".md",""),'Sorcerer Spells'!A:A,0),0)&gt;0,"#Sorcerer",""),IF(IFERROR(MATCH(SUBSTITUTE(A160,".md",""),'Warlock Spells'!A:A,0),0)&gt;0,"#Warlock",""),IF(IFERROR(MATCH(SUBSTITUTE(A160,".md",""),'Wizard Spells'!A:A,0),0)&gt;0,"#Wizard",""))</f>
        <v>#Druid</v>
      </c>
    </row>
    <row r="161" spans="1:7" ht="105" x14ac:dyDescent="0.25">
      <c r="A161" t="s">
        <v>207</v>
      </c>
      <c r="B161" s="1" t="str">
        <f t="shared" si="8"/>
        <v>level 8 - #enchantment Casting Time: Action Range: Self Components: V Duration: 1 hour 
Until the spell ends, when you make a Charisma check, you can replace the number you roll with a 15. Additionally, no matter what you say, magic that would determine if you are telling the truth indicates that you are being truthful._x000D_
#Bard #Warlock</v>
      </c>
      <c r="C161" t="str">
        <f t="shared" si="9"/>
        <v>level 8</v>
      </c>
      <c r="D161" s="1" t="s">
        <v>208</v>
      </c>
      <c r="E161" t="str">
        <f t="shared" si="10"/>
        <v>level 8</v>
      </c>
      <c r="F161" t="str">
        <f t="shared" si="11"/>
        <v>NULL</v>
      </c>
      <c r="G161" t="str">
        <f>_xlfn.TEXTJOIN(" ",TRUE,IF(IFERROR(MATCH(SUBSTITUTE(A161,".md",""),'Bard Spells'!A:A,0),0)&gt;0,"#Bard",""),IF(IFERROR(MATCH(SUBSTITUTE(A161,".md",""),'Cleric Spells'!A:A,0),0)&gt;0,"#Cleric",""),IF(IFERROR(MATCH(SUBSTITUTE(A161,".md",""),'Druid Spells'!A:A,0),0)&gt;0,"#Druid",""),IF(IFERROR(MATCH(SUBSTITUTE(A161,".md",""),'Paladin Spells'!A:A,0),0)&gt;0,"#Paladin",""),IF(IFERROR(MATCH(SUBSTITUTE(A161,".md",""),'Ranger Spells'!A:A,0),0)&gt;0,"#Ranger",""),IF(IFERROR(MATCH(SUBSTITUTE(A161,".md",""),'Sorcerer Spells'!A:A,0),0)&gt;0,"#Sorcerer",""),IF(IFERROR(MATCH(SUBSTITUTE(A161,".md",""),'Warlock Spells'!A:A,0),0)&gt;0,"#Warlock",""),IF(IFERROR(MATCH(SUBSTITUTE(A161,".md",""),'Wizard Spells'!A:A,0),0)&gt;0,"#Wizard",""))</f>
        <v>#Bard #Warlock</v>
      </c>
    </row>
    <row r="162" spans="1:7" ht="150" x14ac:dyDescent="0.25">
      <c r="A162" t="s">
        <v>209</v>
      </c>
      <c r="B162" s="1" t="str">
        <f t="shared" si="8"/>
        <v>level 6 - #abjuration Casting Time: Action Range: Self Components: V, S, M (a glass bead) Duration: #Concentration, up to 1 minute 
An immobile, shimmering barrier appears in a 10-foot Emanation around you and remains for the duration.
Any spell of level 5 or lower cast from outside the barrier can't affect anything within it. Such a spell can target creatures and objects within the barrier, but the spell has no effect on them. Similarly, the area within the barrier is excluded from areas of effect created by such spells. 
Using a Higher-Level Spell Slot. The barrier blocks spells of 1 level higher for each spell slot level above 6._x000D_
#Sorcerer #Wizard</v>
      </c>
      <c r="C162" t="str">
        <f t="shared" si="9"/>
        <v>level 6</v>
      </c>
      <c r="D162" s="1" t="s">
        <v>688</v>
      </c>
      <c r="E162" t="str">
        <f t="shared" si="10"/>
        <v>level 6</v>
      </c>
      <c r="F162" t="str">
        <f t="shared" si="11"/>
        <v>NULL</v>
      </c>
      <c r="G162" t="str">
        <f>_xlfn.TEXTJOIN(" ",TRUE,IF(IFERROR(MATCH(SUBSTITUTE(A162,".md",""),'Bard Spells'!A:A,0),0)&gt;0,"#Bard",""),IF(IFERROR(MATCH(SUBSTITUTE(A162,".md",""),'Cleric Spells'!A:A,0),0)&gt;0,"#Cleric",""),IF(IFERROR(MATCH(SUBSTITUTE(A162,".md",""),'Druid Spells'!A:A,0),0)&gt;0,"#Druid",""),IF(IFERROR(MATCH(SUBSTITUTE(A162,".md",""),'Paladin Spells'!A:A,0),0)&gt;0,"#Paladin",""),IF(IFERROR(MATCH(SUBSTITUTE(A162,".md",""),'Ranger Spells'!A:A,0),0)&gt;0,"#Ranger",""),IF(IFERROR(MATCH(SUBSTITUTE(A162,".md",""),'Sorcerer Spells'!A:A,0),0)&gt;0,"#Sorcerer",""),IF(IFERROR(MATCH(SUBSTITUTE(A162,".md",""),'Warlock Spells'!A:A,0),0)&gt;0,"#Warlock",""),IF(IFERROR(MATCH(SUBSTITUTE(A162,".md",""),'Wizard Spells'!A:A,0),0)&gt;0,"#Wizard",""))</f>
        <v>#Sorcerer #Wizard</v>
      </c>
    </row>
    <row r="163" spans="1:7" ht="330" x14ac:dyDescent="0.25">
      <c r="A163" t="s">
        <v>210</v>
      </c>
      <c r="B163" s="1" t="str">
        <f t="shared" si="8"/>
        <v>level 3 - #abjuration Casting Time: 1 hour Range: Touch Components: V, S, M (powdered diamond worth 200+ GP, which the spell consumes) Duration: Until dispelled or triggered You inscribe a glyph that later unleashes a magical effect. 
You inscribe it either on a surface (such as a table or a section of floor) or within an object that can be closed (such as a book or chest) to conceal the glyph. The glyph can cover an area no larger than 10 feet in diameter. If the surface or object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whether it's an explosive rune or a spell glyph, as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Once a glyph is triggered, this spell ends. You can refine the trigger so that only creatures of certain types activate it (for example, the glyph could be set to affect Aberrations). You can also set conditions for creatures that don't trigger the glyph, such as those who say a certain password. 
**Explosive Rune.** When triggered, the glyph erupts with magical energy in a 20-foot-radius Sphere centered on the glyph. Each creature in the area makes a Dexterity saving throw. A creature takes 5d8 Acid, Cold, Fire, Lightning, or Thunder damage (your choice when you create the glyph) on a failed save or half as much damage on a successful one. 
**Spell Glyph.** You can store a prepared spell of level 3 or lower in the glyph by casting it as part of creating the glyph. The spell must target a single creature or an area. The spell being stored has no immediate effect when cast in this way. When the glyph is triggered, the stored spell takes effect.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 
Using a Higher-Level Spell Slot. The damage of an explosive rune increases by 1d8 for each spell slot level above 3. If you create a spell glyph, you can store any spell of up to the same level as the spell slot you use for the Glyph of Warding._x000D_
#Bard #Cleric #Wizard</v>
      </c>
      <c r="C163" t="str">
        <f t="shared" si="9"/>
        <v>level 3</v>
      </c>
      <c r="D163" s="1" t="s">
        <v>689</v>
      </c>
      <c r="E163" t="str">
        <f t="shared" si="10"/>
        <v>level 3</v>
      </c>
      <c r="F163" t="str">
        <f t="shared" si="11"/>
        <v>NULL</v>
      </c>
      <c r="G163" t="str">
        <f>_xlfn.TEXTJOIN(" ",TRUE,IF(IFERROR(MATCH(SUBSTITUTE(A163,".md",""),'Bard Spells'!A:A,0),0)&gt;0,"#Bard",""),IF(IFERROR(MATCH(SUBSTITUTE(A163,".md",""),'Cleric Spells'!A:A,0),0)&gt;0,"#Cleric",""),IF(IFERROR(MATCH(SUBSTITUTE(A163,".md",""),'Druid Spells'!A:A,0),0)&gt;0,"#Druid",""),IF(IFERROR(MATCH(SUBSTITUTE(A163,".md",""),'Paladin Spells'!A:A,0),0)&gt;0,"#Paladin",""),IF(IFERROR(MATCH(SUBSTITUTE(A163,".md",""),'Ranger Spells'!A:A,0),0)&gt;0,"#Ranger",""),IF(IFERROR(MATCH(SUBSTITUTE(A163,".md",""),'Sorcerer Spells'!A:A,0),0)&gt;0,"#Sorcerer",""),IF(IFERROR(MATCH(SUBSTITUTE(A163,".md",""),'Warlock Spells'!A:A,0),0)&gt;0,"#Warlock",""),IF(IFERROR(MATCH(SUBSTITUTE(A163,".md",""),'Wizard Spells'!A:A,0),0)&gt;0,"#Wizard",""))</f>
        <v>#Bard #Cleric #Wizard</v>
      </c>
    </row>
    <row r="164" spans="1:7" ht="120" x14ac:dyDescent="0.25">
      <c r="A164" t="s">
        <v>211</v>
      </c>
      <c r="B164" s="1" t="str">
        <f t="shared" si="8"/>
        <v>level 1 - #conjuration Casting Time: Action Range: Self Components: V, S, M (a sprig of mistletoe) Duration: 24 hours 
Ten berries appear in your hand and are infused with magic for the duration. A creature can take a Bonus Action to eat one berry. Eating a berry restores 1 Hit Point, and the berry provides enough nourishment to sustain a creature for one day. 
Uneaten berries disappear when the spell ends._x000D_
#Druid #Ranger</v>
      </c>
      <c r="C164" t="str">
        <f t="shared" si="9"/>
        <v>level 1</v>
      </c>
      <c r="D164" s="1" t="s">
        <v>639</v>
      </c>
      <c r="E164" t="str">
        <f t="shared" si="10"/>
        <v>level 1</v>
      </c>
      <c r="F164" t="str">
        <f t="shared" si="11"/>
        <v>NULL</v>
      </c>
      <c r="G164" t="str">
        <f>_xlfn.TEXTJOIN(" ",TRUE,IF(IFERROR(MATCH(SUBSTITUTE(A164,".md",""),'Bard Spells'!A:A,0),0)&gt;0,"#Bard",""),IF(IFERROR(MATCH(SUBSTITUTE(A164,".md",""),'Cleric Spells'!A:A,0),0)&gt;0,"#Cleric",""),IF(IFERROR(MATCH(SUBSTITUTE(A164,".md",""),'Druid Spells'!A:A,0),0)&gt;0,"#Druid",""),IF(IFERROR(MATCH(SUBSTITUTE(A164,".md",""),'Paladin Spells'!A:A,0),0)&gt;0,"#Paladin",""),IF(IFERROR(MATCH(SUBSTITUTE(A164,".md",""),'Ranger Spells'!A:A,0),0)&gt;0,"#Ranger",""),IF(IFERROR(MATCH(SUBSTITUTE(A164,".md",""),'Sorcerer Spells'!A:A,0),0)&gt;0,"#Sorcerer",""),IF(IFERROR(MATCH(SUBSTITUTE(A164,".md",""),'Warlock Spells'!A:A,0),0)&gt;0,"#Warlock",""),IF(IFERROR(MATCH(SUBSTITUTE(A164,".md",""),'Wizard Spells'!A:A,0),0)&gt;0,"#Wizard",""))</f>
        <v>#Druid #Ranger</v>
      </c>
    </row>
    <row r="165" spans="1:7" ht="165" x14ac:dyDescent="0.25">
      <c r="A165" t="s">
        <v>212</v>
      </c>
      <c r="B165" s="1" t="str">
        <f t="shared" si="8"/>
        <v>level 4 - #conjuration Casting Time: #BonusAction Range: 60 feet Components: V, S Duration: #Concentration, up to 1 minute 
You conjure a vine that sprouts from a surface in an unoccupied space that you can see within range. The vine lasts for the duration. Make a melee spell attack against a creature within 30 feet of the vine. On a hit, the target takes 4d8 Bludgeoning damage and is pulled up to 30 feet toward the vine; if the target is Huge or smaller, it has the Grappled condition (escape DC equal to your spell save DC). The vine can grapple only one creature at a time, and you can cause the vine to release a Grappled creature (no action required). 
As a Bonus Action on your later turns, you can repeat the attack against a creature within 30 feet of the vine. 
Using a Higher-Level Spell Slot. The number of creatures the vine can grapple increases by one for each spell slot level above 4._x000D_
#Druid #Ranger</v>
      </c>
      <c r="C165" t="str">
        <f t="shared" si="9"/>
        <v>level 4</v>
      </c>
      <c r="D165" s="1" t="s">
        <v>1165</v>
      </c>
      <c r="E165" t="str">
        <f t="shared" si="10"/>
        <v>level 4</v>
      </c>
      <c r="F165" t="str">
        <f t="shared" si="11"/>
        <v>NULL</v>
      </c>
      <c r="G165" t="str">
        <f>_xlfn.TEXTJOIN(" ",TRUE,IF(IFERROR(MATCH(SUBSTITUTE(A165,".md",""),'Bard Spells'!A:A,0),0)&gt;0,"#Bard",""),IF(IFERROR(MATCH(SUBSTITUTE(A165,".md",""),'Cleric Spells'!A:A,0),0)&gt;0,"#Cleric",""),IF(IFERROR(MATCH(SUBSTITUTE(A165,".md",""),'Druid Spells'!A:A,0),0)&gt;0,"#Druid",""),IF(IFERROR(MATCH(SUBSTITUTE(A165,".md",""),'Paladin Spells'!A:A,0),0)&gt;0,"#Paladin",""),IF(IFERROR(MATCH(SUBSTITUTE(A165,".md",""),'Ranger Spells'!A:A,0),0)&gt;0,"#Ranger",""),IF(IFERROR(MATCH(SUBSTITUTE(A165,".md",""),'Sorcerer Spells'!A:A,0),0)&gt;0,"#Sorcerer",""),IF(IFERROR(MATCH(SUBSTITUTE(A165,".md",""),'Warlock Spells'!A:A,0),0)&gt;0,"#Warlock",""),IF(IFERROR(MATCH(SUBSTITUTE(A165,".md",""),'Wizard Spells'!A:A,0),0)&gt;0,"#Wizard",""))</f>
        <v>#Druid #Ranger</v>
      </c>
    </row>
    <row r="166" spans="1:7" ht="120" x14ac:dyDescent="0.25">
      <c r="A166" t="s">
        <v>213</v>
      </c>
      <c r="B166" s="1" t="str">
        <f t="shared" si="8"/>
        <v>level 1 - #conjuration Casting Time: Action Range: 60 feet Components: V, S, M (a bit of pork rind or butter) Duration: 1 minute 
Nonflammable grease covers the ground in a 10-foot square centered on a point within range and turns it into Difficult Terrain for the duration. 
When the grease appears, each creature standing in its area must succeed on a Dexterity saving throw or have the Prone condition. A creature that enters the area or ends its turn there must also succeed on that save or fall Prone._x000D_
#Sorcerer #Wizard</v>
      </c>
      <c r="C166" t="str">
        <f t="shared" si="9"/>
        <v>level 1</v>
      </c>
      <c r="D166" s="1" t="s">
        <v>214</v>
      </c>
      <c r="E166" t="str">
        <f t="shared" si="10"/>
        <v>level 1</v>
      </c>
      <c r="F166" t="str">
        <f t="shared" si="11"/>
        <v>NULL</v>
      </c>
      <c r="G166" t="str">
        <f>_xlfn.TEXTJOIN(" ",TRUE,IF(IFERROR(MATCH(SUBSTITUTE(A166,".md",""),'Bard Spells'!A:A,0),0)&gt;0,"#Bard",""),IF(IFERROR(MATCH(SUBSTITUTE(A166,".md",""),'Cleric Spells'!A:A,0),0)&gt;0,"#Cleric",""),IF(IFERROR(MATCH(SUBSTITUTE(A166,".md",""),'Druid Spells'!A:A,0),0)&gt;0,"#Druid",""),IF(IFERROR(MATCH(SUBSTITUTE(A166,".md",""),'Paladin Spells'!A:A,0),0)&gt;0,"#Paladin",""),IF(IFERROR(MATCH(SUBSTITUTE(A166,".md",""),'Ranger Spells'!A:A,0),0)&gt;0,"#Ranger",""),IF(IFERROR(MATCH(SUBSTITUTE(A166,".md",""),'Sorcerer Spells'!A:A,0),0)&gt;0,"#Sorcerer",""),IF(IFERROR(MATCH(SUBSTITUTE(A166,".md",""),'Warlock Spells'!A:A,0),0)&gt;0,"#Warlock",""),IF(IFERROR(MATCH(SUBSTITUTE(A166,".md",""),'Wizard Spells'!A:A,0),0)&gt;0,"#Wizard",""))</f>
        <v>#Sorcerer #Wizard</v>
      </c>
    </row>
    <row r="167" spans="1:7" ht="90" x14ac:dyDescent="0.25">
      <c r="A167" t="s">
        <v>215</v>
      </c>
      <c r="B167" s="1" t="str">
        <f t="shared" si="8"/>
        <v>level 4 - #illusion Casting Time: Action Range: Touch Components: V, S Duration: #Concentration, up to 1 minute 
A creature you touch has the Invisible condition until the spell ends._x000D_
#Bard #Sorcerer #Wizard</v>
      </c>
      <c r="C167" t="str">
        <f t="shared" si="9"/>
        <v>level 4</v>
      </c>
      <c r="D167" s="1" t="s">
        <v>690</v>
      </c>
      <c r="E167" t="str">
        <f t="shared" si="10"/>
        <v>level 4</v>
      </c>
      <c r="F167" t="str">
        <f t="shared" si="11"/>
        <v>NULL</v>
      </c>
      <c r="G167" t="str">
        <f>_xlfn.TEXTJOIN(" ",TRUE,IF(IFERROR(MATCH(SUBSTITUTE(A167,".md",""),'Bard Spells'!A:A,0),0)&gt;0,"#Bard",""),IF(IFERROR(MATCH(SUBSTITUTE(A167,".md",""),'Cleric Spells'!A:A,0),0)&gt;0,"#Cleric",""),IF(IFERROR(MATCH(SUBSTITUTE(A167,".md",""),'Druid Spells'!A:A,0),0)&gt;0,"#Druid",""),IF(IFERROR(MATCH(SUBSTITUTE(A167,".md",""),'Paladin Spells'!A:A,0),0)&gt;0,"#Paladin",""),IF(IFERROR(MATCH(SUBSTITUTE(A167,".md",""),'Ranger Spells'!A:A,0),0)&gt;0,"#Ranger",""),IF(IFERROR(MATCH(SUBSTITUTE(A167,".md",""),'Sorcerer Spells'!A:A,0),0)&gt;0,"#Sorcerer",""),IF(IFERROR(MATCH(SUBSTITUTE(A167,".md",""),'Warlock Spells'!A:A,0),0)&gt;0,"#Warlock",""),IF(IFERROR(MATCH(SUBSTITUTE(A167,".md",""),'Wizard Spells'!A:A,0),0)&gt;0,"#Wizard",""))</f>
        <v>#Bard #Sorcerer #Wizard</v>
      </c>
    </row>
    <row r="168" spans="1:7" ht="165" x14ac:dyDescent="0.25">
      <c r="A168" t="s">
        <v>216</v>
      </c>
      <c r="B168" s="1" t="str">
        <f t="shared" si="8"/>
        <v>level 5 - #abjuration Casting Time: Action Range: Touch Components: V, S, M (diamond dust worth 100+ GP, which the spell consumes) Duration: Instantaneous 
You touch a creature and magically remove one of the following effects from it: 
â€¢ 1 Exhaustion level 
â€¢ The Charmed or Petrified condition 
â€¢ A curse, including the target's Attunement to a cursed magic item 
â€¢ Any reduction to one of the target's ability scores 
â€¢ Any reduction to the target's Hit Point maximum_x000D_
#Bard #Cleric #Druid #Paladin #Ranger</v>
      </c>
      <c r="C168" t="str">
        <f t="shared" si="9"/>
        <v>level 5</v>
      </c>
      <c r="D168" s="1" t="s">
        <v>217</v>
      </c>
      <c r="E168" t="str">
        <f t="shared" si="10"/>
        <v>level 5</v>
      </c>
      <c r="F168" t="str">
        <f t="shared" si="11"/>
        <v>NULL</v>
      </c>
      <c r="G168" t="str">
        <f>_xlfn.TEXTJOIN(" ",TRUE,IF(IFERROR(MATCH(SUBSTITUTE(A168,".md",""),'Bard Spells'!A:A,0),0)&gt;0,"#Bard",""),IF(IFERROR(MATCH(SUBSTITUTE(A168,".md",""),'Cleric Spells'!A:A,0),0)&gt;0,"#Cleric",""),IF(IFERROR(MATCH(SUBSTITUTE(A168,".md",""),'Druid Spells'!A:A,0),0)&gt;0,"#Druid",""),IF(IFERROR(MATCH(SUBSTITUTE(A168,".md",""),'Paladin Spells'!A:A,0),0)&gt;0,"#Paladin",""),IF(IFERROR(MATCH(SUBSTITUTE(A168,".md",""),'Ranger Spells'!A:A,0),0)&gt;0,"#Ranger",""),IF(IFERROR(MATCH(SUBSTITUTE(A168,".md",""),'Sorcerer Spells'!A:A,0),0)&gt;0,"#Sorcerer",""),IF(IFERROR(MATCH(SUBSTITUTE(A168,".md",""),'Warlock Spells'!A:A,0),0)&gt;0,"#Warlock",""),IF(IFERROR(MATCH(SUBSTITUTE(A168,".md",""),'Wizard Spells'!A:A,0),0)&gt;0,"#Wizard",""))</f>
        <v>#Bard #Cleric #Druid #Paladin #Ranger</v>
      </c>
    </row>
    <row r="169" spans="1:7" ht="135" x14ac:dyDescent="0.25">
      <c r="A169" t="s">
        <v>218</v>
      </c>
      <c r="B169" s="1" t="str">
        <f t="shared" si="8"/>
        <v>level 4 - #conjuration Casting Time: Action Range: 30 feet Components: V Duration: 8 hours 
A Large spectral guardian appears and hovers for the duration in an unoccupied space that you can see within range. The guardian occupies that space and is invulnerable, and it appears in a form appropriate for your deity or pantheon. 
Any enemy that moves to a space within 10 feet of the guardian for the first time on a turn or starts its turn there makes a Dexterity saving throw, taking 20 Radiant damage on a failed save or half as much damage on a successful one. The guardian vanishes when it has dealt a total of 60 damage_x000D_
#Cleric</v>
      </c>
      <c r="C169" t="str">
        <f t="shared" si="9"/>
        <v>level 4</v>
      </c>
      <c r="D169" s="1" t="s">
        <v>219</v>
      </c>
      <c r="E169" t="str">
        <f t="shared" si="10"/>
        <v>level 4</v>
      </c>
      <c r="F169" t="str">
        <f t="shared" si="11"/>
        <v>NULL</v>
      </c>
      <c r="G169" t="str">
        <f>_xlfn.TEXTJOIN(" ",TRUE,IF(IFERROR(MATCH(SUBSTITUTE(A169,".md",""),'Bard Spells'!A:A,0),0)&gt;0,"#Bard",""),IF(IFERROR(MATCH(SUBSTITUTE(A169,".md",""),'Cleric Spells'!A:A,0),0)&gt;0,"#Cleric",""),IF(IFERROR(MATCH(SUBSTITUTE(A169,".md",""),'Druid Spells'!A:A,0),0)&gt;0,"#Druid",""),IF(IFERROR(MATCH(SUBSTITUTE(A169,".md",""),'Paladin Spells'!A:A,0),0)&gt;0,"#Paladin",""),IF(IFERROR(MATCH(SUBSTITUTE(A169,".md",""),'Ranger Spells'!A:A,0),0)&gt;0,"#Ranger",""),IF(IFERROR(MATCH(SUBSTITUTE(A169,".md",""),'Sorcerer Spells'!A:A,0),0)&gt;0,"#Sorcerer",""),IF(IFERROR(MATCH(SUBSTITUTE(A169,".md",""),'Warlock Spells'!A:A,0),0)&gt;0,"#Warlock",""),IF(IFERROR(MATCH(SUBSTITUTE(A169,".md",""),'Wizard Spells'!A:A,0),0)&gt;0,"#Wizard",""))</f>
        <v>#Cleric</v>
      </c>
    </row>
    <row r="170" spans="1:7" ht="285" x14ac:dyDescent="0.25">
      <c r="A170" t="s">
        <v>220</v>
      </c>
      <c r="B170" s="1" t="str">
        <f t="shared" si="8"/>
        <v>level 6 - #abjuration Casting Time: 1 hour Range: Touch Components: V, S, M (a silver rod worth 10+ GP) Duration: 24 hours 
You create a ward that protects up to 2,500 square feet of floor space. The warded area can be up to 20 feet tall, and you shape it as one 50-foot square, one hundred 5-foot squares that are contiguous, or twenty-five 10-foot squares that are contiguous. When you cast this spell, you can specify individuals that are unaffected by the spell's effects. You can also specify a password that, when spoken aloud within 5 feet of the warded area, makes the speaker immune to its effects. The spell creates the effects below within the warded area. Dispel Magic has no effect on Guards and Wards itself, but each of the following effects can be dispelled. If all four are dispelled, Guards and Wards ends. If you cast the spell every day for 365 days on the same area, the spell thereafter lasts until all its effects are dispelled. 
**Corridors.** Fog fills all the warded corridors, making them Heavily Obscured. In addition, at each intersection or branching passage offering a choice of direction, there is a 50 percent chance that a creature other than you believes it is going in the opposite direction from the one it chooses. 
**Doors.** All doors in the warded area are magically locked, as if sealed by the Arcane Lock spell. In addition, you can cover up to ten doors with an illusion to make them appear as plain sections of wall. Stairs. Webs fill all stairs in the warded area from top to bottom, as in the Web spell. These strands regrow in 10 minutes if they are destroyed while Guards and Wards lasts. 
**Other Spell Effect.** Place one of the following magical effects within the warded area: 
â€¢ Dancing Lights in four corridors, with a simple program that the lights repeat as long as Guards and Wards lasts 
â€¢ &gt;Magic Mouth in two locations 
â€¢ Stinking Cloud in two locations (the vapors return within 10 minutes if dispersed while Guards and Wards lasts) 
â€¢ Gust of Wind in one corridor or room (the wind blows continuously while the spell lasts) 
â€¢ Suggestion in one 5-foot square; any creature that enters that square receives the suggestion mentally_x000D_
#Bard #Wizard</v>
      </c>
      <c r="C170" t="str">
        <f t="shared" si="9"/>
        <v>level 6</v>
      </c>
      <c r="D170" s="1" t="s">
        <v>221</v>
      </c>
      <c r="E170" t="str">
        <f t="shared" si="10"/>
        <v>level 6</v>
      </c>
      <c r="F170" t="str">
        <f t="shared" si="11"/>
        <v>NULL</v>
      </c>
      <c r="G170" t="str">
        <f>_xlfn.TEXTJOIN(" ",TRUE,IF(IFERROR(MATCH(SUBSTITUTE(A170,".md",""),'Bard Spells'!A:A,0),0)&gt;0,"#Bard",""),IF(IFERROR(MATCH(SUBSTITUTE(A170,".md",""),'Cleric Spells'!A:A,0),0)&gt;0,"#Cleric",""),IF(IFERROR(MATCH(SUBSTITUTE(A170,".md",""),'Druid Spells'!A:A,0),0)&gt;0,"#Druid",""),IF(IFERROR(MATCH(SUBSTITUTE(A170,".md",""),'Paladin Spells'!A:A,0),0)&gt;0,"#Paladin",""),IF(IFERROR(MATCH(SUBSTITUTE(A170,".md",""),'Ranger Spells'!A:A,0),0)&gt;0,"#Ranger",""),IF(IFERROR(MATCH(SUBSTITUTE(A170,".md",""),'Sorcerer Spells'!A:A,0),0)&gt;0,"#Sorcerer",""),IF(IFERROR(MATCH(SUBSTITUTE(A170,".md",""),'Warlock Spells'!A:A,0),0)&gt;0,"#Warlock",""),IF(IFERROR(MATCH(SUBSTITUTE(A170,".md",""),'Wizard Spells'!A:A,0),0)&gt;0,"#Wizard",""))</f>
        <v>#Bard #Wizard</v>
      </c>
    </row>
    <row r="171" spans="1:7" ht="90" x14ac:dyDescent="0.25">
      <c r="A171" t="s">
        <v>222</v>
      </c>
      <c r="B171" s="1" t="str">
        <f t="shared" si="8"/>
        <v>level 0 - #divination Casting Time: Action Range: Touch Components: V, S Duration: #Concentration, up to 1 minute 
You touch a willing creature and choose a skill. Until the spell ends, the creature adds 1d4 to any ability check using the chosen skill._x000D_
#Cleric #Druid</v>
      </c>
      <c r="C171" t="str">
        <f t="shared" si="9"/>
        <v>level 0</v>
      </c>
      <c r="D171" s="1" t="s">
        <v>223</v>
      </c>
      <c r="E171" t="str">
        <f t="shared" si="10"/>
        <v>level 0</v>
      </c>
      <c r="F171" t="str">
        <f t="shared" si="11"/>
        <v>NULL</v>
      </c>
      <c r="G171" t="str">
        <f>_xlfn.TEXTJOIN(" ",TRUE,IF(IFERROR(MATCH(SUBSTITUTE(A171,".md",""),'Bard Spells'!A:A,0),0)&gt;0,"#Bard",""),IF(IFERROR(MATCH(SUBSTITUTE(A171,".md",""),'Cleric Spells'!A:A,0),0)&gt;0,"#Cleric",""),IF(IFERROR(MATCH(SUBSTITUTE(A171,".md",""),'Druid Spells'!A:A,0),0)&gt;0,"#Druid",""),IF(IFERROR(MATCH(SUBSTITUTE(A171,".md",""),'Paladin Spells'!A:A,0),0)&gt;0,"#Paladin",""),IF(IFERROR(MATCH(SUBSTITUTE(A171,".md",""),'Ranger Spells'!A:A,0),0)&gt;0,"#Ranger",""),IF(IFERROR(MATCH(SUBSTITUTE(A171,".md",""),'Sorcerer Spells'!A:A,0),0)&gt;0,"#Sorcerer",""),IF(IFERROR(MATCH(SUBSTITUTE(A171,".md",""),'Warlock Spells'!A:A,0),0)&gt;0,"#Warlock",""),IF(IFERROR(MATCH(SUBSTITUTE(A171,".md",""),'Wizard Spells'!A:A,0),0)&gt;0,"#Wizard",""))</f>
        <v>#Cleric #Druid</v>
      </c>
    </row>
    <row r="172" spans="1:7" ht="135" x14ac:dyDescent="0.25">
      <c r="A172" t="s">
        <v>224</v>
      </c>
      <c r="B172" s="1" t="str">
        <f t="shared" si="8"/>
        <v>level 1 - #evocation Casting Time: Action Range: 120 feet Components: V, S Duration: 1 round 
You hurl a bolt of light toward a creature within range. Make a ranged spell attack against the target. On a hit, it takes 4d6 Radiant damage, and the next attack roll made against it before the end of your next turn has Advantage. 
Using a Higher-Level Spell Slot. The damage increases by 1d6 for each spell slot level above 1._x000D_
#Cleric</v>
      </c>
      <c r="C172" t="str">
        <f t="shared" si="9"/>
        <v>level 1</v>
      </c>
      <c r="D172" s="1" t="s">
        <v>225</v>
      </c>
      <c r="E172" t="str">
        <f t="shared" si="10"/>
        <v>level 1</v>
      </c>
      <c r="F172" t="str">
        <f t="shared" si="11"/>
        <v>NULL</v>
      </c>
      <c r="G172" t="str">
        <f>_xlfn.TEXTJOIN(" ",TRUE,IF(IFERROR(MATCH(SUBSTITUTE(A172,".md",""),'Bard Spells'!A:A,0),0)&gt;0,"#Bard",""),IF(IFERROR(MATCH(SUBSTITUTE(A172,".md",""),'Cleric Spells'!A:A,0),0)&gt;0,"#Cleric",""),IF(IFERROR(MATCH(SUBSTITUTE(A172,".md",""),'Druid Spells'!A:A,0),0)&gt;0,"#Druid",""),IF(IFERROR(MATCH(SUBSTITUTE(A172,".md",""),'Paladin Spells'!A:A,0),0)&gt;0,"#Paladin",""),IF(IFERROR(MATCH(SUBSTITUTE(A172,".md",""),'Ranger Spells'!A:A,0),0)&gt;0,"#Ranger",""),IF(IFERROR(MATCH(SUBSTITUTE(A172,".md",""),'Sorcerer Spells'!A:A,0),0)&gt;0,"#Sorcerer",""),IF(IFERROR(MATCH(SUBSTITUTE(A172,".md",""),'Warlock Spells'!A:A,0),0)&gt;0,"#Warlock",""),IF(IFERROR(MATCH(SUBSTITUTE(A172,".md",""),'Wizard Spells'!A:A,0),0)&gt;0,"#Wizard",""))</f>
        <v>#Cleric</v>
      </c>
    </row>
    <row r="173" spans="1:7" ht="165" x14ac:dyDescent="0.25">
      <c r="A173" t="s">
        <v>226</v>
      </c>
      <c r="B173" s="1" t="str">
        <f t="shared" si="8"/>
        <v>level 2 - #evocation Casting Time: Action Range: Self Components: V, S, M (a legume seed) Duration: #Concentration, up to 1 minute 
A Line of strong wind 60 feet long and 10 feet wide blasts from you in a direction you choose for the duration. Each creature in the Line must succeed on a Strength saving throw or be pushed 15 feet away from you in a direction following the Line. A creature that ends its turn in the Line must make the same save. 
Any creature in the Line must spend 2 feet of movement for every 1 foot it moves when moving closer to you.
The gust disperses gas or vapor, and it extinguishes candles and similar unprotected flames in the area. It causes protected flames, such as those of lanterns, to dance wildly and has a 50 percent chance to extinguish them. 
As a Bonus Action on your later turns, you can change the direction in which the Line blasts from you_x000D_
#Druid #Ranger #Sorcerer #Wizard</v>
      </c>
      <c r="C173" t="str">
        <f t="shared" si="9"/>
        <v>level 2</v>
      </c>
      <c r="D173" s="1" t="s">
        <v>691</v>
      </c>
      <c r="E173" t="str">
        <f t="shared" si="10"/>
        <v>level 2</v>
      </c>
      <c r="F173" t="str">
        <f t="shared" si="11"/>
        <v>NULL</v>
      </c>
      <c r="G173" t="str">
        <f>_xlfn.TEXTJOIN(" ",TRUE,IF(IFERROR(MATCH(SUBSTITUTE(A173,".md",""),'Bard Spells'!A:A,0),0)&gt;0,"#Bard",""),IF(IFERROR(MATCH(SUBSTITUTE(A173,".md",""),'Cleric Spells'!A:A,0),0)&gt;0,"#Cleric",""),IF(IFERROR(MATCH(SUBSTITUTE(A173,".md",""),'Druid Spells'!A:A,0),0)&gt;0,"#Druid",""),IF(IFERROR(MATCH(SUBSTITUTE(A173,".md",""),'Paladin Spells'!A:A,0),0)&gt;0,"#Paladin",""),IF(IFERROR(MATCH(SUBSTITUTE(A173,".md",""),'Ranger Spells'!A:A,0),0)&gt;0,"#Ranger",""),IF(IFERROR(MATCH(SUBSTITUTE(A173,".md",""),'Sorcerer Spells'!A:A,0),0)&gt;0,"#Sorcerer",""),IF(IFERROR(MATCH(SUBSTITUTE(A173,".md",""),'Warlock Spells'!A:A,0),0)&gt;0,"#Warlock",""),IF(IFERROR(MATCH(SUBSTITUTE(A173,".md",""),'Wizard Spells'!A:A,0),0)&gt;0,"#Wizard",""))</f>
        <v>#Druid #Ranger #Sorcerer #Wizard</v>
      </c>
    </row>
    <row r="174" spans="1:7" ht="135" x14ac:dyDescent="0.25">
      <c r="A174" t="s">
        <v>227</v>
      </c>
      <c r="B174" s="1" t="str">
        <f t="shared" si="8"/>
        <v>level 1 - #conjuration Casting Time: #BonusAction, which you take immediately after hitting a creature with a Ranged weapon Range: Self Components: V Duration: Instantaneous 
As you hit the creature, this spell creates a rain of thorns that sprouts from your Ranged weapon or ammunition. The target of the attack and each creature within 5 feet of it make a Dexterity saving throw, taking 1d10 Piercing damage on a failed save or half as much damage on a successful one. 
Using a Higher-Level Spell Slot. The damage increases by 1d10 for each spell slot level above 1._x000D_
#Ranger</v>
      </c>
      <c r="C174" t="str">
        <f t="shared" si="9"/>
        <v>level 1</v>
      </c>
      <c r="D174" s="1" t="s">
        <v>1166</v>
      </c>
      <c r="E174" t="str">
        <f t="shared" si="10"/>
        <v>level 1</v>
      </c>
      <c r="F174" t="str">
        <f t="shared" si="11"/>
        <v>NULL</v>
      </c>
      <c r="G174" t="str">
        <f>_xlfn.TEXTJOIN(" ",TRUE,IF(IFERROR(MATCH(SUBSTITUTE(A174,".md",""),'Bard Spells'!A:A,0),0)&gt;0,"#Bard",""),IF(IFERROR(MATCH(SUBSTITUTE(A174,".md",""),'Cleric Spells'!A:A,0),0)&gt;0,"#Cleric",""),IF(IFERROR(MATCH(SUBSTITUTE(A174,".md",""),'Druid Spells'!A:A,0),0)&gt;0,"#Druid",""),IF(IFERROR(MATCH(SUBSTITUTE(A174,".md",""),'Paladin Spells'!A:A,0),0)&gt;0,"#Paladin",""),IF(IFERROR(MATCH(SUBSTITUTE(A174,".md",""),'Ranger Spells'!A:A,0),0)&gt;0,"#Ranger",""),IF(IFERROR(MATCH(SUBSTITUTE(A174,".md",""),'Sorcerer Spells'!A:A,0),0)&gt;0,"#Sorcerer",""),IF(IFERROR(MATCH(SUBSTITUTE(A174,".md",""),'Warlock Spells'!A:A,0),0)&gt;0,"#Warlock",""),IF(IFERROR(MATCH(SUBSTITUTE(A174,".md",""),'Wizard Spells'!A:A,0),0)&gt;0,"#Wizard",""))</f>
        <v>#Ranger</v>
      </c>
    </row>
    <row r="175" spans="1:7" ht="315" x14ac:dyDescent="0.25">
      <c r="A175" t="s">
        <v>228</v>
      </c>
      <c r="B175" s="1" t="str">
        <f t="shared" si="8"/>
        <v>level 5 - #abjuration Casting Time: 24 hours Range: Touch Components: V, S, M (incense worth 1,000+ GP, which the spell consumes) Duration: Until dispelled 
You touch a point and infuse an area around it with holy or unholy power. The area can have a radius up to 60 feet, and the spell fails if the radius includes an area already under the effect of Hallow. The affected area has the following effects. 
**Hallowed Ward.** Choose any of these creature types: Aberration, Celestial, Elemental, Fey, Fiend, or Undead. Creatures of the chosen types can't willingly enter the area, and any creature that is possessed by or that has the Charmed or Frightened condition from such creatures isn't possessed, Charmed, or Frightened by them while in the area. 
**Extra Effect.** You bind an extra effect to the area from the list below:
**Courage.** Creatures of any types you choose can't gain the Frightened condition while in the area. 
**Darkness.** Darkness fills the area. Normal light, as well as magical light created by spells of a level lower than this spell, can't illuminate the area. 
**Daylight.** Bright light fills the area. Magical Darkness created by spells of a level lower than this spell can't extinguish the light. 
**Peaceful Rest.** Dead bodies interred in the area can't be turned into Undead. 
**Extradimensional Interference.** Creatures of any types you choose can't enter or exit the area using teleportation or interplanar travel. 
**Fear.** Creatures of any types you choose have the Frightened condition while in the area. 
**Resistance.** Creatures of any types you choose have Resistance to one damage type of your choice while in the area. 
**Silence.** No sound can emanate from within the area, and no sound can reach into it. 
**Tongues.** Creatures of any types you choose can communicate with any other creature in the area even if they don't share a common language. 
**Vulnerability.** Creatures of any types you choose have Vulnerability to one damage type of your choice while in the area._x000D_
#Cleric</v>
      </c>
      <c r="C175" t="str">
        <f t="shared" si="9"/>
        <v>level 5</v>
      </c>
      <c r="D175" s="1" t="s">
        <v>229</v>
      </c>
      <c r="E175" t="str">
        <f t="shared" si="10"/>
        <v>level 5</v>
      </c>
      <c r="F175" t="str">
        <f t="shared" si="11"/>
        <v>NULL</v>
      </c>
      <c r="G175" t="str">
        <f>_xlfn.TEXTJOIN(" ",TRUE,IF(IFERROR(MATCH(SUBSTITUTE(A175,".md",""),'Bard Spells'!A:A,0),0)&gt;0,"#Bard",""),IF(IFERROR(MATCH(SUBSTITUTE(A175,".md",""),'Cleric Spells'!A:A,0),0)&gt;0,"#Cleric",""),IF(IFERROR(MATCH(SUBSTITUTE(A175,".md",""),'Druid Spells'!A:A,0),0)&gt;0,"#Druid",""),IF(IFERROR(MATCH(SUBSTITUTE(A175,".md",""),'Paladin Spells'!A:A,0),0)&gt;0,"#Paladin",""),IF(IFERROR(MATCH(SUBSTITUTE(A175,".md",""),'Ranger Spells'!A:A,0),0)&gt;0,"#Ranger",""),IF(IFERROR(MATCH(SUBSTITUTE(A175,".md",""),'Sorcerer Spells'!A:A,0),0)&gt;0,"#Sorcerer",""),IF(IFERROR(MATCH(SUBSTITUTE(A175,".md",""),'Warlock Spells'!A:A,0),0)&gt;0,"#Warlock",""),IF(IFERROR(MATCH(SUBSTITUTE(A175,".md",""),'Wizard Spells'!A:A,0),0)&gt;0,"#Wizard",""))</f>
        <v>#Cleric</v>
      </c>
    </row>
    <row r="176" spans="1:7" ht="150" x14ac:dyDescent="0.25">
      <c r="A176" t="s">
        <v>230</v>
      </c>
      <c r="B176" s="1" t="str">
        <f t="shared" si="8"/>
        <v>level 4 - #illusion Casting Time: 10 minutes Range: 300 feet Components: V, S, M (a mushroom) Duration: 24 hours 
You make natural terrain in a 150-foot Cube in range look, sound, and smell like another sort of natural terrain. Thus, open fields or a road can be made to resemble a swamp, hill, crevasse, or some other difficult or impassable terrain. A pond can be made to seem like a grassy meadow, a precipice like a gentle slope, or a rock- strewn gully like a wide and smooth road. Manufactured structures, equipment, and creatures within the area aren't changed. 
The tactile characteristics of the terrain are unchanged, so creatures entering the area are likely to notice the illusion. If the difference isn't obvious by touch, a creature examining the illusion can take the Study action to make an Intelligence (Investigation) check against your spell save DC to disbelieve it. If a creature discerns that the terrain is illusory, the creature sees a vague image superimposed on the real terrain._x000D_
#Bard #Druid #Warlock #Wizard</v>
      </c>
      <c r="C176" t="str">
        <f t="shared" si="9"/>
        <v>level 4</v>
      </c>
      <c r="D176" s="1" t="s">
        <v>231</v>
      </c>
      <c r="E176" t="str">
        <f t="shared" si="10"/>
        <v>level 4</v>
      </c>
      <c r="F176" t="str">
        <f t="shared" si="11"/>
        <v>NULL</v>
      </c>
      <c r="G176" t="str">
        <f>_xlfn.TEXTJOIN(" ",TRUE,IF(IFERROR(MATCH(SUBSTITUTE(A176,".md",""),'Bard Spells'!A:A,0),0)&gt;0,"#Bard",""),IF(IFERROR(MATCH(SUBSTITUTE(A176,".md",""),'Cleric Spells'!A:A,0),0)&gt;0,"#Cleric",""),IF(IFERROR(MATCH(SUBSTITUTE(A176,".md",""),'Druid Spells'!A:A,0),0)&gt;0,"#Druid",""),IF(IFERROR(MATCH(SUBSTITUTE(A176,".md",""),'Paladin Spells'!A:A,0),0)&gt;0,"#Paladin",""),IF(IFERROR(MATCH(SUBSTITUTE(A176,".md",""),'Ranger Spells'!A:A,0),0)&gt;0,"#Ranger",""),IF(IFERROR(MATCH(SUBSTITUTE(A176,".md",""),'Sorcerer Spells'!A:A,0),0)&gt;0,"#Sorcerer",""),IF(IFERROR(MATCH(SUBSTITUTE(A176,".md",""),'Warlock Spells'!A:A,0),0)&gt;0,"#Warlock",""),IF(IFERROR(MATCH(SUBSTITUTE(A176,".md",""),'Wizard Spells'!A:A,0),0)&gt;0,"#Wizard",""))</f>
        <v>#Bard #Druid #Warlock #Wizard</v>
      </c>
    </row>
    <row r="177" spans="1:7" ht="105" x14ac:dyDescent="0.25">
      <c r="A177" t="s">
        <v>232</v>
      </c>
      <c r="B177" s="1" t="str">
        <f t="shared" si="8"/>
        <v>level 6 - #necromancy Casting Time: Action Range: 60 feet Components: V, S Duration: Instantaneous 
You unleash virulent magic on a creature you can see within range. The target makes a Constitution saving throw. On a failed save, it takes 14d6 Necrotic damage, and its Hit Point maximum is reduced by an amount equal to the Necrotic damage it took. On a successful save, it takes half as much damage only. This spell can't reduce a target's Hit Point maximum below 1._x000D_
#Cleric</v>
      </c>
      <c r="C177" t="str">
        <f t="shared" si="9"/>
        <v>level 6</v>
      </c>
      <c r="D177" s="1" t="s">
        <v>233</v>
      </c>
      <c r="E177" t="str">
        <f t="shared" si="10"/>
        <v>level 6</v>
      </c>
      <c r="F177" t="str">
        <f t="shared" si="11"/>
        <v>NULL</v>
      </c>
      <c r="G177" t="str">
        <f>_xlfn.TEXTJOIN(" ",TRUE,IF(IFERROR(MATCH(SUBSTITUTE(A177,".md",""),'Bard Spells'!A:A,0),0)&gt;0,"#Bard",""),IF(IFERROR(MATCH(SUBSTITUTE(A177,".md",""),'Cleric Spells'!A:A,0),0)&gt;0,"#Cleric",""),IF(IFERROR(MATCH(SUBSTITUTE(A177,".md",""),'Druid Spells'!A:A,0),0)&gt;0,"#Druid",""),IF(IFERROR(MATCH(SUBSTITUTE(A177,".md",""),'Paladin Spells'!A:A,0),0)&gt;0,"#Paladin",""),IF(IFERROR(MATCH(SUBSTITUTE(A177,".md",""),'Ranger Spells'!A:A,0),0)&gt;0,"#Ranger",""),IF(IFERROR(MATCH(SUBSTITUTE(A177,".md",""),'Sorcerer Spells'!A:A,0),0)&gt;0,"#Sorcerer",""),IF(IFERROR(MATCH(SUBSTITUTE(A177,".md",""),'Warlock Spells'!A:A,0),0)&gt;0,"#Warlock",""),IF(IFERROR(MATCH(SUBSTITUTE(A177,".md",""),'Wizard Spells'!A:A,0),0)&gt;0,"#Wizard",""))</f>
        <v>#Cleric</v>
      </c>
    </row>
    <row r="178" spans="1:7" ht="120" x14ac:dyDescent="0.25">
      <c r="A178" t="s">
        <v>234</v>
      </c>
      <c r="B178" s="1" t="str">
        <f t="shared" si="8"/>
        <v>level 3 - #transmutation Casting Time: Action Range: 30 feet Components: V, S, M (a shaving of licorice root) Duration: #Concentration, up to 1 minute 
Choose a willing creature that you can see within range. Until the spell ends, the target's Speed is doubled, it gains a +2 bonus to Armor Class, it has Advantage on Dexterity saving throws, and it gains an additional action on each of its turns. That action can be used to take only the Attack (one attack only), Dash, Disengage, Hide, or Utilize action. 
When the spell ends, the target is Incapacitated and has a Speed of 0 until the end of its next turn, as a wave of lethargy washes over it._x000D_
#Sorcerer #Wizard</v>
      </c>
      <c r="C178" t="str">
        <f t="shared" si="9"/>
        <v>level 3</v>
      </c>
      <c r="D178" s="1" t="s">
        <v>235</v>
      </c>
      <c r="E178" t="str">
        <f t="shared" si="10"/>
        <v>level 3</v>
      </c>
      <c r="F178" t="str">
        <f t="shared" si="11"/>
        <v>NULL</v>
      </c>
      <c r="G178" t="str">
        <f>_xlfn.TEXTJOIN(" ",TRUE,IF(IFERROR(MATCH(SUBSTITUTE(A178,".md",""),'Bard Spells'!A:A,0),0)&gt;0,"#Bard",""),IF(IFERROR(MATCH(SUBSTITUTE(A178,".md",""),'Cleric Spells'!A:A,0),0)&gt;0,"#Cleric",""),IF(IFERROR(MATCH(SUBSTITUTE(A178,".md",""),'Druid Spells'!A:A,0),0)&gt;0,"#Druid",""),IF(IFERROR(MATCH(SUBSTITUTE(A178,".md",""),'Paladin Spells'!A:A,0),0)&gt;0,"#Paladin",""),IF(IFERROR(MATCH(SUBSTITUTE(A178,".md",""),'Ranger Spells'!A:A,0),0)&gt;0,"#Ranger",""),IF(IFERROR(MATCH(SUBSTITUTE(A178,".md",""),'Sorcerer Spells'!A:A,0),0)&gt;0,"#Sorcerer",""),IF(IFERROR(MATCH(SUBSTITUTE(A178,".md",""),'Warlock Spells'!A:A,0),0)&gt;0,"#Warlock",""),IF(IFERROR(MATCH(SUBSTITUTE(A178,".md",""),'Wizard Spells'!A:A,0),0)&gt;0,"#Wizard",""))</f>
        <v>#Sorcerer #Wizard</v>
      </c>
    </row>
    <row r="179" spans="1:7" ht="120" x14ac:dyDescent="0.25">
      <c r="A179" t="s">
        <v>236</v>
      </c>
      <c r="B179" s="1" t="str">
        <f t="shared" si="8"/>
        <v>level 6 - #abjuration Casting Time: Action Range: 60 feet Components: V, S Duration: Instantaneous 
Choose a creature that you can see within range. Positive energy washes through the target, restoring 70 Hit Points. This spell also ends the Blinded, Deafened, and Poisoned conditions on the target. 
Using a Higher-Level Spell Slot. The healing increases by 10 for each spell slot level above 6._x000D_
#Cleric #Druid</v>
      </c>
      <c r="C179" t="str">
        <f t="shared" si="9"/>
        <v>level 6</v>
      </c>
      <c r="D179" s="1" t="s">
        <v>237</v>
      </c>
      <c r="E179" t="str">
        <f t="shared" si="10"/>
        <v>level 6</v>
      </c>
      <c r="F179" t="str">
        <f t="shared" si="11"/>
        <v>NULL</v>
      </c>
      <c r="G179" t="str">
        <f>_xlfn.TEXTJOIN(" ",TRUE,IF(IFERROR(MATCH(SUBSTITUTE(A179,".md",""),'Bard Spells'!A:A,0),0)&gt;0,"#Bard",""),IF(IFERROR(MATCH(SUBSTITUTE(A179,".md",""),'Cleric Spells'!A:A,0),0)&gt;0,"#Cleric",""),IF(IFERROR(MATCH(SUBSTITUTE(A179,".md",""),'Druid Spells'!A:A,0),0)&gt;0,"#Druid",""),IF(IFERROR(MATCH(SUBSTITUTE(A179,".md",""),'Paladin Spells'!A:A,0),0)&gt;0,"#Paladin",""),IF(IFERROR(MATCH(SUBSTITUTE(A179,".md",""),'Ranger Spells'!A:A,0),0)&gt;0,"#Ranger",""),IF(IFERROR(MATCH(SUBSTITUTE(A179,".md",""),'Sorcerer Spells'!A:A,0),0)&gt;0,"#Sorcerer",""),IF(IFERROR(MATCH(SUBSTITUTE(A179,".md",""),'Warlock Spells'!A:A,0),0)&gt;0,"#Warlock",""),IF(IFERROR(MATCH(SUBSTITUTE(A179,".md",""),'Wizard Spells'!A:A,0),0)&gt;0,"#Wizard",""))</f>
        <v>#Cleric #Druid</v>
      </c>
    </row>
    <row r="180" spans="1:7" ht="120" x14ac:dyDescent="0.25">
      <c r="A180" t="s">
        <v>238</v>
      </c>
      <c r="B180" s="1" t="str">
        <f t="shared" si="8"/>
        <v>level 1 - #abjuration Casting Time: #BonusAction Range: 60 feet Components: V Duration: Instantaneous 
A creature of your choice that you can see within range regains Hit Points equal to 2d4 plus your spellcasting ability modifier. 
Using a Higher-Level Spell Slot. The healing increases by 2d4 for each spell slot level above 1._x000D_
#Bard #Cleric #Druid</v>
      </c>
      <c r="C180" t="str">
        <f t="shared" si="9"/>
        <v>level 1</v>
      </c>
      <c r="D180" s="1" t="s">
        <v>1167</v>
      </c>
      <c r="E180" t="str">
        <f t="shared" si="10"/>
        <v>level 1</v>
      </c>
      <c r="F180" t="str">
        <f t="shared" si="11"/>
        <v>NULL</v>
      </c>
      <c r="G180" t="str">
        <f>_xlfn.TEXTJOIN(" ",TRUE,IF(IFERROR(MATCH(SUBSTITUTE(A180,".md",""),'Bard Spells'!A:A,0),0)&gt;0,"#Bard",""),IF(IFERROR(MATCH(SUBSTITUTE(A180,".md",""),'Cleric Spells'!A:A,0),0)&gt;0,"#Cleric",""),IF(IFERROR(MATCH(SUBSTITUTE(A180,".md",""),'Druid Spells'!A:A,0),0)&gt;0,"#Druid",""),IF(IFERROR(MATCH(SUBSTITUTE(A180,".md",""),'Paladin Spells'!A:A,0),0)&gt;0,"#Paladin",""),IF(IFERROR(MATCH(SUBSTITUTE(A180,".md",""),'Ranger Spells'!A:A,0),0)&gt;0,"#Ranger",""),IF(IFERROR(MATCH(SUBSTITUTE(A180,".md",""),'Sorcerer Spells'!A:A,0),0)&gt;0,"#Sorcerer",""),IF(IFERROR(MATCH(SUBSTITUTE(A180,".md",""),'Warlock Spells'!A:A,0),0)&gt;0,"#Warlock",""),IF(IFERROR(MATCH(SUBSTITUTE(A180,".md",""),'Wizard Spells'!A:A,0),0)&gt;0,"#Wizard",""))</f>
        <v>#Bard #Cleric #Druid</v>
      </c>
    </row>
    <row r="181" spans="1:7" ht="165" x14ac:dyDescent="0.25">
      <c r="A181" t="s">
        <v>239</v>
      </c>
      <c r="B181" s="1" t="str">
        <f t="shared" si="8"/>
        <v>level 2 - #transmutation Casting Time: Action Range: 60 feet Components: V, S, M (a piece of iron and a flame) Duration: #Concentration, up to 1 minute 
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take a Bonus Action on each of your later turns to deal this damage again if the object is within range.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 
Using a Higher-Level Spell Slot. The damage increases by 1d8 for each spell slot level above 2._x000D_
#Bard #Druid</v>
      </c>
      <c r="C181" t="str">
        <f t="shared" si="9"/>
        <v>level 2</v>
      </c>
      <c r="D181" s="1" t="s">
        <v>240</v>
      </c>
      <c r="E181" t="str">
        <f t="shared" si="10"/>
        <v>level 2</v>
      </c>
      <c r="F181" t="str">
        <f t="shared" si="11"/>
        <v>NULL</v>
      </c>
      <c r="G181" t="str">
        <f>_xlfn.TEXTJOIN(" ",TRUE,IF(IFERROR(MATCH(SUBSTITUTE(A181,".md",""),'Bard Spells'!A:A,0),0)&gt;0,"#Bard",""),IF(IFERROR(MATCH(SUBSTITUTE(A181,".md",""),'Cleric Spells'!A:A,0),0)&gt;0,"#Cleric",""),IF(IFERROR(MATCH(SUBSTITUTE(A181,".md",""),'Druid Spells'!A:A,0),0)&gt;0,"#Druid",""),IF(IFERROR(MATCH(SUBSTITUTE(A181,".md",""),'Paladin Spells'!A:A,0),0)&gt;0,"#Paladin",""),IF(IFERROR(MATCH(SUBSTITUTE(A181,".md",""),'Ranger Spells'!A:A,0),0)&gt;0,"#Ranger",""),IF(IFERROR(MATCH(SUBSTITUTE(A181,".md",""),'Sorcerer Spells'!A:A,0),0)&gt;0,"#Sorcerer",""),IF(IFERROR(MATCH(SUBSTITUTE(A181,".md",""),'Warlock Spells'!A:A,0),0)&gt;0,"#Warlock",""),IF(IFERROR(MATCH(SUBSTITUTE(A181,".md",""),'Wizard Spells'!A:A,0),0)&gt;0,"#Wizard",""))</f>
        <v>#Bard #Druid</v>
      </c>
    </row>
    <row r="182" spans="1:7" ht="120" x14ac:dyDescent="0.25">
      <c r="A182" t="s">
        <v>241</v>
      </c>
      <c r="B182" s="1" t="str">
        <f t="shared" si="8"/>
        <v>level 1 - #evocation Casting Time: #Reaction, which you take in response to taking damage from a creature that you can see within 60 feet of yourself Range: 60 feet Components: V, S Duration: Instantaneous 
The creature that damaged you is momentarily surrounded by green flames. It makes a Dexterity saving throw, taking 2d10 Fire damage on a failed save or half as much damage on a successful one. 
Using a Higher-Level Spell Slot. The damage increases by 1d10 for each spell slot level above 1._x000D_
#Warlock</v>
      </c>
      <c r="C182" t="str">
        <f t="shared" si="9"/>
        <v>level 1</v>
      </c>
      <c r="D182" s="1" t="s">
        <v>242</v>
      </c>
      <c r="E182" t="str">
        <f t="shared" si="10"/>
        <v>level 1</v>
      </c>
      <c r="F182" t="str">
        <f t="shared" si="11"/>
        <v>NULL</v>
      </c>
      <c r="G182" t="str">
        <f>_xlfn.TEXTJOIN(" ",TRUE,IF(IFERROR(MATCH(SUBSTITUTE(A182,".md",""),'Bard Spells'!A:A,0),0)&gt;0,"#Bard",""),IF(IFERROR(MATCH(SUBSTITUTE(A182,".md",""),'Cleric Spells'!A:A,0),0)&gt;0,"#Cleric",""),IF(IFERROR(MATCH(SUBSTITUTE(A182,".md",""),'Druid Spells'!A:A,0),0)&gt;0,"#Druid",""),IF(IFERROR(MATCH(SUBSTITUTE(A182,".md",""),'Paladin Spells'!A:A,0),0)&gt;0,"#Paladin",""),IF(IFERROR(MATCH(SUBSTITUTE(A182,".md",""),'Ranger Spells'!A:A,0),0)&gt;0,"#Ranger",""),IF(IFERROR(MATCH(SUBSTITUTE(A182,".md",""),'Sorcerer Spells'!A:A,0),0)&gt;0,"#Sorcerer",""),IF(IFERROR(MATCH(SUBSTITUTE(A182,".md",""),'Warlock Spells'!A:A,0),0)&gt;0,"#Warlock",""),IF(IFERROR(MATCH(SUBSTITUTE(A182,".md",""),'Wizard Spells'!A:A,0),0)&gt;0,"#Wizard",""))</f>
        <v>#Warlock</v>
      </c>
    </row>
    <row r="183" spans="1:7" ht="135" x14ac:dyDescent="0.25">
      <c r="A183" t="s">
        <v>243</v>
      </c>
      <c r="B183" s="1" t="str">
        <f t="shared" si="8"/>
        <v>level 6 - #conjuration Casting Time: 10 minutes Range: Self Components: V, S, M (a gem-encrusted bowl worth 1,000+ GP, which the spell consumes) Duration: Instantaneous 
You conjure a feast that appears on a surface in an unoccupied 10- foot Cube next to you. The feast takes 1 hour to consume and disappears at the end of that time, and the beneficial effects don't set in until this hour is over. Up to twelve creatures can partake of the feast. 
A creature that partakes gains several benefits, which last for 24 hours. The creature has Resistance to Poison damage, and it has Immunity to the Frightened and Poisoned conditions. Its Hit Point maximum also increases by 2d10, and it gains the same number of Hit Points._x000D_
#Bard #Cleric #Druid</v>
      </c>
      <c r="C183" t="str">
        <f t="shared" si="9"/>
        <v>level 6</v>
      </c>
      <c r="D183" s="1" t="s">
        <v>244</v>
      </c>
      <c r="E183" t="str">
        <f t="shared" si="10"/>
        <v>level 6</v>
      </c>
      <c r="F183" t="str">
        <f t="shared" si="11"/>
        <v>NULL</v>
      </c>
      <c r="G183" t="str">
        <f>_xlfn.TEXTJOIN(" ",TRUE,IF(IFERROR(MATCH(SUBSTITUTE(A183,".md",""),'Bard Spells'!A:A,0),0)&gt;0,"#Bard",""),IF(IFERROR(MATCH(SUBSTITUTE(A183,".md",""),'Cleric Spells'!A:A,0),0)&gt;0,"#Cleric",""),IF(IFERROR(MATCH(SUBSTITUTE(A183,".md",""),'Druid Spells'!A:A,0),0)&gt;0,"#Druid",""),IF(IFERROR(MATCH(SUBSTITUTE(A183,".md",""),'Paladin Spells'!A:A,0),0)&gt;0,"#Paladin",""),IF(IFERROR(MATCH(SUBSTITUTE(A183,".md",""),'Ranger Spells'!A:A,0),0)&gt;0,"#Ranger",""),IF(IFERROR(MATCH(SUBSTITUTE(A183,".md",""),'Sorcerer Spells'!A:A,0),0)&gt;0,"#Sorcerer",""),IF(IFERROR(MATCH(SUBSTITUTE(A183,".md",""),'Warlock Spells'!A:A,0),0)&gt;0,"#Warlock",""),IF(IFERROR(MATCH(SUBSTITUTE(A183,".md",""),'Wizard Spells'!A:A,0),0)&gt;0,"#Wizard",""))</f>
        <v>#Bard #Cleric #Druid</v>
      </c>
    </row>
    <row r="184" spans="1:7" ht="135" x14ac:dyDescent="0.25">
      <c r="A184" t="s">
        <v>245</v>
      </c>
      <c r="B184" s="1" t="str">
        <f t="shared" si="8"/>
        <v>level 1 - #enchantment Casting Time: Action Range: Touch Components: V, S Duration: #Concentration, up to 1 minute 
A willing creature you touch is imbued with bravery. Until the spell ends, the creature is immune to the Frightened condition and gains Temporary Hit Points equal to your spellcasting ability modifier at the start of each of its turns. 
Using a Higher-Level Spell Slot. You can target one additional creature for each spell slot level above 1._x000D_
#Bard #Paladin</v>
      </c>
      <c r="C184" t="str">
        <f t="shared" si="9"/>
        <v>level 1</v>
      </c>
      <c r="D184" s="1" t="s">
        <v>246</v>
      </c>
      <c r="E184" t="str">
        <f t="shared" si="10"/>
        <v>level 1</v>
      </c>
      <c r="F184" t="str">
        <f t="shared" si="11"/>
        <v>NULL</v>
      </c>
      <c r="G184" t="str">
        <f>_xlfn.TEXTJOIN(" ",TRUE,IF(IFERROR(MATCH(SUBSTITUTE(A184,".md",""),'Bard Spells'!A:A,0),0)&gt;0,"#Bard",""),IF(IFERROR(MATCH(SUBSTITUTE(A184,".md",""),'Cleric Spells'!A:A,0),0)&gt;0,"#Cleric",""),IF(IFERROR(MATCH(SUBSTITUTE(A184,".md",""),'Druid Spells'!A:A,0),0)&gt;0,"#Druid",""),IF(IFERROR(MATCH(SUBSTITUTE(A184,".md",""),'Paladin Spells'!A:A,0),0)&gt;0,"#Paladin",""),IF(IFERROR(MATCH(SUBSTITUTE(A184,".md",""),'Ranger Spells'!A:A,0),0)&gt;0,"#Ranger",""),IF(IFERROR(MATCH(SUBSTITUTE(A184,".md",""),'Sorcerer Spells'!A:A,0),0)&gt;0,"#Sorcerer",""),IF(IFERROR(MATCH(SUBSTITUTE(A184,".md",""),'Warlock Spells'!A:A,0),0)&gt;0,"#Warlock",""),IF(IFERROR(MATCH(SUBSTITUTE(A184,".md",""),'Wizard Spells'!A:A,0),0)&gt;0,"#Wizard",""))</f>
        <v>#Bard #Paladin</v>
      </c>
    </row>
    <row r="185" spans="1:7" ht="150" x14ac:dyDescent="0.25">
      <c r="A185" t="s">
        <v>247</v>
      </c>
      <c r="B185" s="1" t="str">
        <f t="shared" si="8"/>
        <v>level 1 - #enchantment Casting Time: #BonusAction Range: 90 feet Components: V, S, M (the petrified eye of a newt) Duration: #Concentration, up to 1 hour 
You place a curse on a creature that you can see within range. Until the spell ends, you deal an extra 1d6 Necrotic damage to the target whenever you hit it with an attack roll. Also, choose one ability when you cast the spell. The target has Disadvantage on ability checks made with the chosen ability. 
If the target drops to 0 Hit Points before this spell ends, you can use a Bonus Action on a later turn to curse a new creature. 
Using a Higher-Level Spell Slot. Your #Concentration can last longer with a spell slot of level 2 (up to 4 hours), 3-4 (up to 8 hours), or 5+ (up to 24 hours)._x000D_
#Warlock</v>
      </c>
      <c r="C185" t="str">
        <f t="shared" si="9"/>
        <v>level 1</v>
      </c>
      <c r="D185" s="1" t="s">
        <v>1168</v>
      </c>
      <c r="E185" t="str">
        <f t="shared" si="10"/>
        <v>level 1</v>
      </c>
      <c r="F185" t="str">
        <f t="shared" si="11"/>
        <v>NULL</v>
      </c>
      <c r="G185" t="str">
        <f>_xlfn.TEXTJOIN(" ",TRUE,IF(IFERROR(MATCH(SUBSTITUTE(A185,".md",""),'Bard Spells'!A:A,0),0)&gt;0,"#Bard",""),IF(IFERROR(MATCH(SUBSTITUTE(A185,".md",""),'Cleric Spells'!A:A,0),0)&gt;0,"#Cleric",""),IF(IFERROR(MATCH(SUBSTITUTE(A185,".md",""),'Druid Spells'!A:A,0),0)&gt;0,"#Druid",""),IF(IFERROR(MATCH(SUBSTITUTE(A185,".md",""),'Paladin Spells'!A:A,0),0)&gt;0,"#Paladin",""),IF(IFERROR(MATCH(SUBSTITUTE(A185,".md",""),'Ranger Spells'!A:A,0),0)&gt;0,"#Ranger",""),IF(IFERROR(MATCH(SUBSTITUTE(A185,".md",""),'Sorcerer Spells'!A:A,0),0)&gt;0,"#Sorcerer",""),IF(IFERROR(MATCH(SUBSTITUTE(A185,".md",""),'Warlock Spells'!A:A,0),0)&gt;0,"#Warlock",""),IF(IFERROR(MATCH(SUBSTITUTE(A185,".md",""),'Wizard Spells'!A:A,0),0)&gt;0,"#Wizard",""))</f>
        <v>#Warlock</v>
      </c>
    </row>
    <row r="186" spans="1:7" ht="135" x14ac:dyDescent="0.25">
      <c r="A186" t="s">
        <v>248</v>
      </c>
      <c r="B186" s="1" t="str">
        <f t="shared" si="8"/>
        <v>level 5 - #enchantment Casting Time: Action Range: 90 feet Components: V, S, M (a straight piece of iron) Duration: #Concentration, up to 1 minute 
Choose a creature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creature for each spell slot level above 5._x000D_
#Bard #Sorcerer #Warlock #Wizard</v>
      </c>
      <c r="C186" t="str">
        <f t="shared" si="9"/>
        <v>level 5</v>
      </c>
      <c r="D186" s="1" t="s">
        <v>249</v>
      </c>
      <c r="E186" t="str">
        <f t="shared" si="10"/>
        <v>level 5</v>
      </c>
      <c r="F186" t="str">
        <f t="shared" si="11"/>
        <v>NULL</v>
      </c>
      <c r="G186" t="str">
        <f>_xlfn.TEXTJOIN(" ",TRUE,IF(IFERROR(MATCH(SUBSTITUTE(A186,".md",""),'Bard Spells'!A:A,0),0)&gt;0,"#Bard",""),IF(IFERROR(MATCH(SUBSTITUTE(A186,".md",""),'Cleric Spells'!A:A,0),0)&gt;0,"#Cleric",""),IF(IFERROR(MATCH(SUBSTITUTE(A186,".md",""),'Druid Spells'!A:A,0),0)&gt;0,"#Druid",""),IF(IFERROR(MATCH(SUBSTITUTE(A186,".md",""),'Paladin Spells'!A:A,0),0)&gt;0,"#Paladin",""),IF(IFERROR(MATCH(SUBSTITUTE(A186,".md",""),'Ranger Spells'!A:A,0),0)&gt;0,"#Ranger",""),IF(IFERROR(MATCH(SUBSTITUTE(A186,".md",""),'Sorcerer Spells'!A:A,0),0)&gt;0,"#Sorcerer",""),IF(IFERROR(MATCH(SUBSTITUTE(A186,".md",""),'Warlock Spells'!A:A,0),0)&gt;0,"#Warlock",""),IF(IFERROR(MATCH(SUBSTITUTE(A186,".md",""),'Wizard Spells'!A:A,0),0)&gt;0,"#Wizard",""))</f>
        <v>#Bard #Sorcerer #Warlock #Wizard</v>
      </c>
    </row>
    <row r="187" spans="1:7" ht="135" x14ac:dyDescent="0.25">
      <c r="A187" t="s">
        <v>250</v>
      </c>
      <c r="B187" s="1" t="str">
        <f t="shared" si="8"/>
        <v>level 2 - #enchantment Casting Time: Action Range: 60 feet Components: V, S, M (a straight piece of iron) Duration: #Concentration, up to 1 minute 
Choose a Humanoid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Humanoid for each spell slot level above 2._x000D_
#Bard #Cleric #Druid #Sorcerer #Warlock #Wizard</v>
      </c>
      <c r="C187" t="str">
        <f t="shared" si="9"/>
        <v>level 2</v>
      </c>
      <c r="D187" s="1" t="s">
        <v>251</v>
      </c>
      <c r="E187" t="str">
        <f t="shared" si="10"/>
        <v>level 2</v>
      </c>
      <c r="F187" t="str">
        <f t="shared" si="11"/>
        <v>NULL</v>
      </c>
      <c r="G187" t="str">
        <f>_xlfn.TEXTJOIN(" ",TRUE,IF(IFERROR(MATCH(SUBSTITUTE(A187,".md",""),'Bard Spells'!A:A,0),0)&gt;0,"#Bard",""),IF(IFERROR(MATCH(SUBSTITUTE(A187,".md",""),'Cleric Spells'!A:A,0),0)&gt;0,"#Cleric",""),IF(IFERROR(MATCH(SUBSTITUTE(A187,".md",""),'Druid Spells'!A:A,0),0)&gt;0,"#Druid",""),IF(IFERROR(MATCH(SUBSTITUTE(A187,".md",""),'Paladin Spells'!A:A,0),0)&gt;0,"#Paladin",""),IF(IFERROR(MATCH(SUBSTITUTE(A187,".md",""),'Ranger Spells'!A:A,0),0)&gt;0,"#Ranger",""),IF(IFERROR(MATCH(SUBSTITUTE(A187,".md",""),'Sorcerer Spells'!A:A,0),0)&gt;0,"#Sorcerer",""),IF(IFERROR(MATCH(SUBSTITUTE(A187,".md",""),'Warlock Spells'!A:A,0),0)&gt;0,"#Warlock",""),IF(IFERROR(MATCH(SUBSTITUTE(A187,".md",""),'Wizard Spells'!A:A,0),0)&gt;0,"#Wizard",""))</f>
        <v>#Bard #Cleric #Druid #Sorcerer #Warlock #Wizard</v>
      </c>
    </row>
    <row r="188" spans="1:7" ht="105" x14ac:dyDescent="0.25">
      <c r="A188" t="s">
        <v>252</v>
      </c>
      <c r="B188" s="1" t="str">
        <f t="shared" si="8"/>
        <v>level 8 - #abjuration Casting Time: Action Range: Self Components: V, S, M (a reliquary worth 1,000+ GP) Duration: #Concentration, up to 1 minute 
For the duration, you emit an aura in a 30-foot Emanation. While in the aura, creatures of your choice have Advantage on all saving throws, and other creatures have Disadvantage on attack rolls against them. In addition, when a Fiend or an Undead hits an affected creature with a melee attack roll, the attacker must succeed on a Constitution saving throw or have the Blinded condition until the end of its next turn._x000D_
#Cleric</v>
      </c>
      <c r="C188" t="str">
        <f t="shared" si="9"/>
        <v>level 8</v>
      </c>
      <c r="D188" s="1" t="s">
        <v>253</v>
      </c>
      <c r="E188" t="str">
        <f t="shared" si="10"/>
        <v>level 8</v>
      </c>
      <c r="F188" t="str">
        <f t="shared" si="11"/>
        <v>NULL</v>
      </c>
      <c r="G188" t="str">
        <f>_xlfn.TEXTJOIN(" ",TRUE,IF(IFERROR(MATCH(SUBSTITUTE(A188,".md",""),'Bard Spells'!A:A,0),0)&gt;0,"#Bard",""),IF(IFERROR(MATCH(SUBSTITUTE(A188,".md",""),'Cleric Spells'!A:A,0),0)&gt;0,"#Cleric",""),IF(IFERROR(MATCH(SUBSTITUTE(A188,".md",""),'Druid Spells'!A:A,0),0)&gt;0,"#Druid",""),IF(IFERROR(MATCH(SUBSTITUTE(A188,".md",""),'Paladin Spells'!A:A,0),0)&gt;0,"#Paladin",""),IF(IFERROR(MATCH(SUBSTITUTE(A188,".md",""),'Ranger Spells'!A:A,0),0)&gt;0,"#Ranger",""),IF(IFERROR(MATCH(SUBSTITUTE(A188,".md",""),'Sorcerer Spells'!A:A,0),0)&gt;0,"#Sorcerer",""),IF(IFERROR(MATCH(SUBSTITUTE(A188,".md",""),'Warlock Spells'!A:A,0),0)&gt;0,"#Warlock",""),IF(IFERROR(MATCH(SUBSTITUTE(A188,".md",""),'Wizard Spells'!A:A,0),0)&gt;0,"#Wizard",""))</f>
        <v>#Cleric</v>
      </c>
    </row>
    <row r="189" spans="1:7" ht="165" x14ac:dyDescent="0.25">
      <c r="A189" t="s">
        <v>254</v>
      </c>
      <c r="B189" s="1" t="str">
        <f t="shared" si="8"/>
        <v>level 3 - #conjuration Casting Time: Action Range: 150 feet Components: V, S, M (a pickled tentacle) Duration: #Concentration, up to 1 minute 
You open a gateway to the Far Realm, a region infested with unspeakable horrors. A 20-foot-radius Sphere of Darkness appears, centered on a point with range and lasting for the duration. The Sphere is Difficult Terrain, and it is filled with strange whispers and slurping noises, which can be heard up to 30 feet away. No light, magical or otherwise, can illuminate the area, and creatures fully within it have the Blinded condition. 
Any creature that starts its turn in the area takes 2d6 Cold damage. Any creature that ends its turn there must succeed on a Dexterity saving throw or take 2d6 Acid damage from otherworldly tentacles. 
Using a Higher-Level Spell Slot. The Cold or Acid damage (your choice) increases by 1d6 for each spell slot level above 3.
#Warlock</v>
      </c>
      <c r="C189" t="str">
        <f t="shared" si="9"/>
        <v>level 3</v>
      </c>
      <c r="D189" s="1" t="s">
        <v>1219</v>
      </c>
      <c r="E189" t="str">
        <f t="shared" si="10"/>
        <v>level 3</v>
      </c>
      <c r="F189" t="str">
        <f t="shared" si="11"/>
        <v>NULL</v>
      </c>
      <c r="G189" t="str">
        <f>_xlfn.TEXTJOIN(" ",TRUE,IF(IFERROR(MATCH(SUBSTITUTE(A189,".md",""),'Bard Spells'!A:A,0),0)&gt;0,"#Bard",""),IF(IFERROR(MATCH(SUBSTITUTE(A189,".md",""),'Cleric Spells'!A:A,0),0)&gt;0,"#Cleric",""),IF(IFERROR(MATCH(SUBSTITUTE(A189,".md",""),'Druid Spells'!A:A,0),0)&gt;0,"#Druid",""),IF(IFERROR(MATCH(SUBSTITUTE(A189,".md",""),'Paladin Spells'!A:A,0),0)&gt;0,"#Paladin",""),IF(IFERROR(MATCH(SUBSTITUTE(A189,".md",""),'Ranger Spells'!A:A,0),0)&gt;0,"#Ranger",""),IF(IFERROR(MATCH(SUBSTITUTE(A189,".md",""),'Sorcerer Spells'!A:A,0),0)&gt;0,"#Sorcerer",""),IF(IFERROR(MATCH(SUBSTITUTE(A189,".md",""),'Warlock Spells'!A:A,0),0)&gt;0,"#Warlock",""),IF(IFERROR(MATCH(SUBSTITUTE(A189,".md",""),'Wizard Spells'!A:A,0),0)&gt;0,"#Wizard",""))</f>
        <v>#Warlock</v>
      </c>
    </row>
    <row r="190" spans="1:7" ht="150" x14ac:dyDescent="0.25">
      <c r="A190" t="s">
        <v>255</v>
      </c>
      <c r="B190" s="1" t="str">
        <f t="shared" si="8"/>
        <v>level 1 - #divination Casting Time: #BonusAction Range: 90 feet Components: V Duration: #Concentration, up to 1 hour 
You magically mark one creature you can see within range as your quarry. Until the spell ends, you deal an extra 1d6 Force damage to the target whenever you hit it with an attack roll. You also have Advantage on any Wisdom (Perception or Survival) check you make to find it. 
If the target drops to 0 Hit Points before this spell ends, you can use a Bonus Action to mark a new creature you can see within range. 
Using a Higher-Level Spell Slot. Your #Concentration can last longer with a spell slot of level 3-4 (up to 8 hours) or 5+ (up to 24 hours)._x000D_
#Ranger</v>
      </c>
      <c r="C190" t="str">
        <f t="shared" si="9"/>
        <v>level 1</v>
      </c>
      <c r="D190" s="1" t="s">
        <v>1169</v>
      </c>
      <c r="E190" t="str">
        <f t="shared" si="10"/>
        <v>level 1</v>
      </c>
      <c r="F190" t="str">
        <f t="shared" si="11"/>
        <v>NULL</v>
      </c>
      <c r="G190" t="str">
        <f>_xlfn.TEXTJOIN(" ",TRUE,IF(IFERROR(MATCH(SUBSTITUTE(A190,".md",""),'Bard Spells'!A:A,0),0)&gt;0,"#Bard",""),IF(IFERROR(MATCH(SUBSTITUTE(A190,".md",""),'Cleric Spells'!A:A,0),0)&gt;0,"#Cleric",""),IF(IFERROR(MATCH(SUBSTITUTE(A190,".md",""),'Druid Spells'!A:A,0),0)&gt;0,"#Druid",""),IF(IFERROR(MATCH(SUBSTITUTE(A190,".md",""),'Paladin Spells'!A:A,0),0)&gt;0,"#Paladin",""),IF(IFERROR(MATCH(SUBSTITUTE(A190,".md",""),'Ranger Spells'!A:A,0),0)&gt;0,"#Ranger",""),IF(IFERROR(MATCH(SUBSTITUTE(A190,".md",""),'Sorcerer Spells'!A:A,0),0)&gt;0,"#Sorcerer",""),IF(IFERROR(MATCH(SUBSTITUTE(A190,".md",""),'Warlock Spells'!A:A,0),0)&gt;0,"#Warlock",""),IF(IFERROR(MATCH(SUBSTITUTE(A190,".md",""),'Wizard Spells'!A:A,0),0)&gt;0,"#Wizard",""))</f>
        <v>#Ranger</v>
      </c>
    </row>
    <row r="191" spans="1:7" ht="120" x14ac:dyDescent="0.25">
      <c r="A191" t="s">
        <v>256</v>
      </c>
      <c r="B191" s="1" t="str">
        <f t="shared" si="8"/>
        <v>level 3 - #illusion Casting Time: Action Range: 120 feet Components: S, M (a pinch of confetti) Duration: #Concentration, up to 1 minute 
You create a twisting pattern of colors in a 30-foot Cube within range. The pattern appears for a moment and vanishes. Each creature in the area who can see the pattern must succeed on a Wisdom saving throw or have the Charmed condition for the duration. While Charmed, the creature has the Incapacitated condition and a Speed of 0. 
The spell ends for an affected creature if it takes any damage or if someone else uses an action to shake the creature out of its stupor._x000D_
#Bard #Sorcerer #Warlock #Wizard</v>
      </c>
      <c r="C191" t="str">
        <f t="shared" si="9"/>
        <v>level 3</v>
      </c>
      <c r="D191" s="1" t="s">
        <v>257</v>
      </c>
      <c r="E191" t="str">
        <f t="shared" si="10"/>
        <v>level 3</v>
      </c>
      <c r="F191" t="str">
        <f t="shared" si="11"/>
        <v>NULL</v>
      </c>
      <c r="G191" t="str">
        <f>_xlfn.TEXTJOIN(" ",TRUE,IF(IFERROR(MATCH(SUBSTITUTE(A191,".md",""),'Bard Spells'!A:A,0),0)&gt;0,"#Bard",""),IF(IFERROR(MATCH(SUBSTITUTE(A191,".md",""),'Cleric Spells'!A:A,0),0)&gt;0,"#Cleric",""),IF(IFERROR(MATCH(SUBSTITUTE(A191,".md",""),'Druid Spells'!A:A,0),0)&gt;0,"#Druid",""),IF(IFERROR(MATCH(SUBSTITUTE(A191,".md",""),'Paladin Spells'!A:A,0),0)&gt;0,"#Paladin",""),IF(IFERROR(MATCH(SUBSTITUTE(A191,".md",""),'Ranger Spells'!A:A,0),0)&gt;0,"#Ranger",""),IF(IFERROR(MATCH(SUBSTITUTE(A191,".md",""),'Sorcerer Spells'!A:A,0),0)&gt;0,"#Sorcerer",""),IF(IFERROR(MATCH(SUBSTITUTE(A191,".md",""),'Warlock Spells'!A:A,0),0)&gt;0,"#Warlock",""),IF(IFERROR(MATCH(SUBSTITUTE(A191,".md",""),'Wizard Spells'!A:A,0),0)&gt;0,"#Wizard",""))</f>
        <v>#Bard #Sorcerer #Warlock #Wizard</v>
      </c>
    </row>
    <row r="192" spans="1:7" ht="135" x14ac:dyDescent="0.25">
      <c r="A192" t="s">
        <v>258</v>
      </c>
      <c r="B192" s="1" t="str">
        <f t="shared" si="8"/>
        <v>level 1 - #conjuration Casting Time: Action Range: 60 feet Components: S, M (a drop of water or a piece of ice) Duration: Instantaneous 
You create a shard of ice and fling it at one creature within range. Make a ranged spell attack against the target. On a hit, the target takes 1d10 Piercing damage. Hit or miss, the shard then explodes. The target and each creature within 5 feet of it must succeed on a Dexterity saving throw or take 2d6 Cold damage. 
Using a Higher-Level Spell Slot. The Cold damage increases by 1d6 for each spell slot level above 1_x000D_
#Druid #Sorcerer #Wizard</v>
      </c>
      <c r="C192" t="str">
        <f t="shared" si="9"/>
        <v>level 1</v>
      </c>
      <c r="D192" s="1" t="s">
        <v>259</v>
      </c>
      <c r="E192" t="str">
        <f t="shared" si="10"/>
        <v>level 1</v>
      </c>
      <c r="F192" t="str">
        <f t="shared" si="11"/>
        <v>NULL</v>
      </c>
      <c r="G192" t="str">
        <f>_xlfn.TEXTJOIN(" ",TRUE,IF(IFERROR(MATCH(SUBSTITUTE(A192,".md",""),'Bard Spells'!A:A,0),0)&gt;0,"#Bard",""),IF(IFERROR(MATCH(SUBSTITUTE(A192,".md",""),'Cleric Spells'!A:A,0),0)&gt;0,"#Cleric",""),IF(IFERROR(MATCH(SUBSTITUTE(A192,".md",""),'Druid Spells'!A:A,0),0)&gt;0,"#Druid",""),IF(IFERROR(MATCH(SUBSTITUTE(A192,".md",""),'Paladin Spells'!A:A,0),0)&gt;0,"#Paladin",""),IF(IFERROR(MATCH(SUBSTITUTE(A192,".md",""),'Ranger Spells'!A:A,0),0)&gt;0,"#Ranger",""),IF(IFERROR(MATCH(SUBSTITUTE(A192,".md",""),'Sorcerer Spells'!A:A,0),0)&gt;0,"#Sorcerer",""),IF(IFERROR(MATCH(SUBSTITUTE(A192,".md",""),'Warlock Spells'!A:A,0),0)&gt;0,"#Warlock",""),IF(IFERROR(MATCH(SUBSTITUTE(A192,".md",""),'Wizard Spells'!A:A,0),0)&gt;0,"#Wizard",""))</f>
        <v>#Druid #Sorcerer #Wizard</v>
      </c>
    </row>
    <row r="193" spans="1:7" ht="150" x14ac:dyDescent="0.25">
      <c r="A193" t="s">
        <v>260</v>
      </c>
      <c r="B193" s="1" t="str">
        <f t="shared" si="8"/>
        <v>level 4 - #evocation Casting Time: Action Range: 300 feet Components: V, S, M (a mitten) Duration: Instantaneous 
Hail falls in a 20-foot-radius, 40-foot-high Cylinder centered on a point within range. Each creature in the Cylinder makes a Dexterity saving throw. A creature takes 2d10 Bludgeoning damage and 4d6 Cold damage on a failed save or half as much damage on a successful one. 
Hailstones turn ground in the Cylinder into Difficult Terrain until the end of your next turn. 
Using a Higher-Level Spell Slot. The Bludgeoning damage increases by 1d10 for each spell slot level above 4_x000D_
#Druid #Sorcerer #Wizard</v>
      </c>
      <c r="C193" t="str">
        <f t="shared" si="9"/>
        <v>level 4</v>
      </c>
      <c r="D193" s="1" t="s">
        <v>261</v>
      </c>
      <c r="E193" t="str">
        <f t="shared" si="10"/>
        <v>level 4</v>
      </c>
      <c r="F193" t="str">
        <f t="shared" si="11"/>
        <v>NULL</v>
      </c>
      <c r="G193" t="str">
        <f>_xlfn.TEXTJOIN(" ",TRUE,IF(IFERROR(MATCH(SUBSTITUTE(A193,".md",""),'Bard Spells'!A:A,0),0)&gt;0,"#Bard",""),IF(IFERROR(MATCH(SUBSTITUTE(A193,".md",""),'Cleric Spells'!A:A,0),0)&gt;0,"#Cleric",""),IF(IFERROR(MATCH(SUBSTITUTE(A193,".md",""),'Druid Spells'!A:A,0),0)&gt;0,"#Druid",""),IF(IFERROR(MATCH(SUBSTITUTE(A193,".md",""),'Paladin Spells'!A:A,0),0)&gt;0,"#Paladin",""),IF(IFERROR(MATCH(SUBSTITUTE(A193,".md",""),'Ranger Spells'!A:A,0),0)&gt;0,"#Ranger",""),IF(IFERROR(MATCH(SUBSTITUTE(A193,".md",""),'Sorcerer Spells'!A:A,0),0)&gt;0,"#Sorcerer",""),IF(IFERROR(MATCH(SUBSTITUTE(A193,".md",""),'Warlock Spells'!A:A,0),0)&gt;0,"#Warlock",""),IF(IFERROR(MATCH(SUBSTITUTE(A193,".md",""),'Wizard Spells'!A:A,0),0)&gt;0,"#Wizard",""))</f>
        <v>#Druid #Sorcerer #Wizard</v>
      </c>
    </row>
    <row r="194" spans="1:7" ht="255" x14ac:dyDescent="0.25">
      <c r="A194" t="s">
        <v>262</v>
      </c>
      <c r="B194" s="1" t="str">
        <f t="shared" ref="B194:B257" si="12">D194&amp;CHAR(10)&amp;CHAR(10)&amp;G194</f>
        <v>level 9 - #abjuration Casting Time: 1 minute Range: 30 feet Components: V, S, M (a statuette of the target worth 5,000+ GP) Duration: Until dispelled 
You create a magical restraint to hold a creature that you can see within range. The target must make a Wisdom saving throw. On a successful save, the target is unaffected, and it is immune to this spell for the next 24 hours. On a failed save, the target is imprisoned. While imprisoned, the target doesn't need to breathe, eat, or drink, and it doesn't age. Divination spells can't locate or perceive the imprisoned target, and the target can't teleport. Until the spell ends, the target is also affected by one of the following effects of your choice: 
**Burial.** The target is entombed beneath the earth in a hollow globe of magical force that is just large enough to contain the target. Nothing can pass into or out of the globe. 
**Chaining.** Chains firmly rooted in the ground hold the target in place. The target has the Restrained condition and can't be moved by any means. 
**Hedged Prison.** The target is trapped in a demiplane that is warded against teleportation and planar travel. The demiplane is your choice of a labyrinth, a cage, a tower, or the like. 
**Minimus Containment.** The target becomes 1 inch tall and is trapped inside an indestructible gemstone or a similar object. Light can pass through the gemstone (allowing the target to see out and other creatures to see in), but nothing else can pass through by any means. 
**Slumber.** The target has the Unconscious condition and can't be awoken. 
**Ending the Spell.** When you cast the spell, specify a trigger that will end it. The trigger can be as simple or as elaborate as you choose, but the DM must agree that it has a high likelihood of happening within the next decade. The trigger must be an observable action, such as someone making a particular offering at the temple of your god, saving your true love, or defeating a specific monster. 
A Dispel Magic spell can end the spell only if it is cast with a level 9 spell slot, targeting either the prison or the component used to create it._x000D_
#Warlock #Wizard</v>
      </c>
      <c r="C194" t="str">
        <f t="shared" ref="C194:C257" si="13">E194</f>
        <v>level 9</v>
      </c>
      <c r="D194" s="1" t="s">
        <v>263</v>
      </c>
      <c r="E194" t="str">
        <f t="shared" ref="E194:E257" si="14">LEFT(D194,7)</f>
        <v>level 9</v>
      </c>
      <c r="F194" t="str">
        <f t="shared" ref="F194:F257" si="15">IF(AND(ISNUMBER(SEARCH("- ", D194)), NOT(ISNUMBER(SEARCH("- #", D194)))), "Match", "NULL")</f>
        <v>NULL</v>
      </c>
      <c r="G194" t="str">
        <f>_xlfn.TEXTJOIN(" ",TRUE,IF(IFERROR(MATCH(SUBSTITUTE(A194,".md",""),'Bard Spells'!A:A,0),0)&gt;0,"#Bard",""),IF(IFERROR(MATCH(SUBSTITUTE(A194,".md",""),'Cleric Spells'!A:A,0),0)&gt;0,"#Cleric",""),IF(IFERROR(MATCH(SUBSTITUTE(A194,".md",""),'Druid Spells'!A:A,0),0)&gt;0,"#Druid",""),IF(IFERROR(MATCH(SUBSTITUTE(A194,".md",""),'Paladin Spells'!A:A,0),0)&gt;0,"#Paladin",""),IF(IFERROR(MATCH(SUBSTITUTE(A194,".md",""),'Ranger Spells'!A:A,0),0)&gt;0,"#Ranger",""),IF(IFERROR(MATCH(SUBSTITUTE(A194,".md",""),'Sorcerer Spells'!A:A,0),0)&gt;0,"#Sorcerer",""),IF(IFERROR(MATCH(SUBSTITUTE(A194,".md",""),'Warlock Spells'!A:A,0),0)&gt;0,"#Warlock",""),IF(IFERROR(MATCH(SUBSTITUTE(A194,".md",""),'Wizard Spells'!A:A,0),0)&gt;0,"#Wizard",""))</f>
        <v>#Warlock #Wizard</v>
      </c>
    </row>
    <row r="195" spans="1:7" ht="150" x14ac:dyDescent="0.25">
      <c r="A195" t="s">
        <v>264</v>
      </c>
      <c r="B195" s="1" t="str">
        <f t="shared" si="12"/>
        <v>level 8 - #conjuration Casting Time: Action Range: 150 feet Components: V, S Duration: #Concentration, up to 1 minute 
A swirling cloud of embers and smoke fills a 20-foot-radius Sphere centered on a point within range. The cloud's area is Heavily Obscured. It lasts for the duration or until a strong wind (like that created by Gust of Wind) disperses it. 
When the cloud appears, each creature in it makes a Dexterity saving throw, taking 10d8 Fire damage on a failed save or half as much damage on a successful one. A creature must also make this save when the Sphere moves into its space and when it enters the Sphere or ends its turn there. A creature makes this save only once per turn. 
The cloud moves 10 feet away from you in a direction you choose at the start of each of your turns._x000D_
#Druid #Sorcerer #Wizard</v>
      </c>
      <c r="C195" t="str">
        <f t="shared" si="13"/>
        <v>level 8</v>
      </c>
      <c r="D195" s="1" t="s">
        <v>265</v>
      </c>
      <c r="E195" t="str">
        <f t="shared" si="14"/>
        <v>level 8</v>
      </c>
      <c r="F195" t="str">
        <f t="shared" si="15"/>
        <v>NULL</v>
      </c>
      <c r="G195" t="str">
        <f>_xlfn.TEXTJOIN(" ",TRUE,IF(IFERROR(MATCH(SUBSTITUTE(A195,".md",""),'Bard Spells'!A:A,0),0)&gt;0,"#Bard",""),IF(IFERROR(MATCH(SUBSTITUTE(A195,".md",""),'Cleric Spells'!A:A,0),0)&gt;0,"#Cleric",""),IF(IFERROR(MATCH(SUBSTITUTE(A195,".md",""),'Druid Spells'!A:A,0),0)&gt;0,"#Druid",""),IF(IFERROR(MATCH(SUBSTITUTE(A195,".md",""),'Paladin Spells'!A:A,0),0)&gt;0,"#Paladin",""),IF(IFERROR(MATCH(SUBSTITUTE(A195,".md",""),'Ranger Spells'!A:A,0),0)&gt;0,"#Ranger",""),IF(IFERROR(MATCH(SUBSTITUTE(A195,".md",""),'Sorcerer Spells'!A:A,0),0)&gt;0,"#Sorcerer",""),IF(IFERROR(MATCH(SUBSTITUTE(A195,".md",""),'Warlock Spells'!A:A,0),0)&gt;0,"#Warlock",""),IF(IFERROR(MATCH(SUBSTITUTE(A195,".md",""),'Wizard Spells'!A:A,0),0)&gt;0,"#Wizard",""))</f>
        <v>#Druid #Sorcerer #Wizard</v>
      </c>
    </row>
    <row r="196" spans="1:7" ht="120" x14ac:dyDescent="0.25">
      <c r="A196" t="s">
        <v>266</v>
      </c>
      <c r="B196" s="1" t="str">
        <f t="shared" si="12"/>
        <v>level 1 - #necromancy Casting Time: Action Range: Touch Components: V, S Duration: Instantaneous 
A creature you touch makes a Constitution saving throw, taking 2d10 Necrotic damage on a failed save or half as much damage on a successful one. 
Using a Higher-Level Spell Slot. The damage increases by 1d10 for each spell slot level above 1._x000D_
#Cleric</v>
      </c>
      <c r="C196" t="str">
        <f t="shared" si="13"/>
        <v>level 1</v>
      </c>
      <c r="D196" s="1" t="s">
        <v>640</v>
      </c>
      <c r="E196" t="str">
        <f t="shared" si="14"/>
        <v>level 1</v>
      </c>
      <c r="F196" t="str">
        <f t="shared" si="15"/>
        <v>NULL</v>
      </c>
      <c r="G196" t="str">
        <f>_xlfn.TEXTJOIN(" ",TRUE,IF(IFERROR(MATCH(SUBSTITUTE(A196,".md",""),'Bard Spells'!A:A,0),0)&gt;0,"#Bard",""),IF(IFERROR(MATCH(SUBSTITUTE(A196,".md",""),'Cleric Spells'!A:A,0),0)&gt;0,"#Cleric",""),IF(IFERROR(MATCH(SUBSTITUTE(A196,".md",""),'Druid Spells'!A:A,0),0)&gt;0,"#Druid",""),IF(IFERROR(MATCH(SUBSTITUTE(A196,".md",""),'Paladin Spells'!A:A,0),0)&gt;0,"#Paladin",""),IF(IFERROR(MATCH(SUBSTITUTE(A196,".md",""),'Ranger Spells'!A:A,0),0)&gt;0,"#Ranger",""),IF(IFERROR(MATCH(SUBSTITUTE(A196,".md",""),'Sorcerer Spells'!A:A,0),0)&gt;0,"#Sorcerer",""),IF(IFERROR(MATCH(SUBSTITUTE(A196,".md",""),'Warlock Spells'!A:A,0),0)&gt;0,"#Warlock",""),IF(IFERROR(MATCH(SUBSTITUTE(A196,".md",""),'Wizard Spells'!A:A,0),0)&gt;0,"#Wizard",""))</f>
        <v>#Cleric</v>
      </c>
    </row>
    <row r="197" spans="1:7" ht="150" x14ac:dyDescent="0.25">
      <c r="A197" t="s">
        <v>267</v>
      </c>
      <c r="B197" s="1" t="str">
        <f t="shared" si="12"/>
        <v>level 5 - #conjuration Casting Time: Action Range: 300 feet Components: V, S, M (a locust) Duration: #Concentration, up to 10 minutes 
Swarming locusts fill a 20-foot-radius Sphere centered on a point you choose within range. The Sphere remains for the duration, and its area is Lightly Obscured and Difficult Terrain. 
When the swarm appears, each creature in it makes a Constitution saving throw, taking 4d10 Piercing damage on a failed save or half as much damage on a successful one. A creature also makes this save when it enters the spell's area for the first time on a turn or ends its turn there. A creature makes this save only once per turn. 
Using a Higher-Level Spell Slot. The damage increases by 1d10 for each spell slot level above 5._x000D_
#Cleric #Druid #Sorcerer</v>
      </c>
      <c r="C197" t="str">
        <f t="shared" si="13"/>
        <v>level 5</v>
      </c>
      <c r="D197" s="1" t="s">
        <v>268</v>
      </c>
      <c r="E197" t="str">
        <f t="shared" si="14"/>
        <v>level 5</v>
      </c>
      <c r="F197" t="str">
        <f t="shared" si="15"/>
        <v>NULL</v>
      </c>
      <c r="G197" t="str">
        <f>_xlfn.TEXTJOIN(" ",TRUE,IF(IFERROR(MATCH(SUBSTITUTE(A197,".md",""),'Bard Spells'!A:A,0),0)&gt;0,"#Bard",""),IF(IFERROR(MATCH(SUBSTITUTE(A197,".md",""),'Cleric Spells'!A:A,0),0)&gt;0,"#Cleric",""),IF(IFERROR(MATCH(SUBSTITUTE(A197,".md",""),'Druid Spells'!A:A,0),0)&gt;0,"#Druid",""),IF(IFERROR(MATCH(SUBSTITUTE(A197,".md",""),'Paladin Spells'!A:A,0),0)&gt;0,"#Paladin",""),IF(IFERROR(MATCH(SUBSTITUTE(A197,".md",""),'Ranger Spells'!A:A,0),0)&gt;0,"#Ranger",""),IF(IFERROR(MATCH(SUBSTITUTE(A197,".md",""),'Sorcerer Spells'!A:A,0),0)&gt;0,"#Sorcerer",""),IF(IFERROR(MATCH(SUBSTITUTE(A197,".md",""),'Warlock Spells'!A:A,0),0)&gt;0,"#Warlock",""),IF(IFERROR(MATCH(SUBSTITUTE(A197,".md",""),'Wizard Spells'!A:A,0),0)&gt;0,"#Wizard",""))</f>
        <v>#Cleric #Druid #Sorcerer</v>
      </c>
    </row>
    <row r="198" spans="1:7" ht="120" x14ac:dyDescent="0.25">
      <c r="A198" t="s">
        <v>269</v>
      </c>
      <c r="B198" s="1" t="str">
        <f t="shared" si="12"/>
        <v>level 2 - #illusion Casting Time: Action Range: Touch Components: V, S, M (an eyelash in gum arabic) Duration: #Concentration, up to 1 hour 
A creature you touch has the Invisible condition until the spell ends. The spell ends early immediately after the target makes an attack roll, deals damage, or casts a spell. 
Using a Higher-Level Spell Slot. You can target one additional creature for each spell slot level above 2
#Bard #Sorcerer #Warlock #Wizard</v>
      </c>
      <c r="C198" t="str">
        <f t="shared" si="13"/>
        <v>level 2</v>
      </c>
      <c r="D198" s="1" t="s">
        <v>1223</v>
      </c>
      <c r="E198" t="str">
        <f t="shared" si="14"/>
        <v>level 2</v>
      </c>
      <c r="F198" t="str">
        <f t="shared" si="15"/>
        <v>NULL</v>
      </c>
      <c r="G198" t="str">
        <f>_xlfn.TEXTJOIN(" ",TRUE,IF(IFERROR(MATCH(SUBSTITUTE(A198,".md",""),'Bard Spells'!A:A,0),0)&gt;0,"#Bard",""),IF(IFERROR(MATCH(SUBSTITUTE(A198,".md",""),'Cleric Spells'!A:A,0),0)&gt;0,"#Cleric",""),IF(IFERROR(MATCH(SUBSTITUTE(A198,".md",""),'Druid Spells'!A:A,0),0)&gt;0,"#Druid",""),IF(IFERROR(MATCH(SUBSTITUTE(A198,".md",""),'Paladin Spells'!A:A,0),0)&gt;0,"#Paladin",""),IF(IFERROR(MATCH(SUBSTITUTE(A198,".md",""),'Ranger Spells'!A:A,0),0)&gt;0,"#Ranger",""),IF(IFERROR(MATCH(SUBSTITUTE(A198,".md",""),'Sorcerer Spells'!A:A,0),0)&gt;0,"#Sorcerer",""),IF(IFERROR(MATCH(SUBSTITUTE(A198,".md",""),'Warlock Spells'!A:A,0),0)&gt;0,"#Warlock",""),IF(IFERROR(MATCH(SUBSTITUTE(A198,".md",""),'Wizard Spells'!A:A,0),0)&gt;0,"#Wizard",""))</f>
        <v>#Bard #Sorcerer #Warlock #Wizard</v>
      </c>
    </row>
    <row r="199" spans="1:7" ht="90" x14ac:dyDescent="0.25">
      <c r="A199" t="s">
        <v>270</v>
      </c>
      <c r="B199" s="1" t="str">
        <f t="shared" si="12"/>
        <v>level 5 - #evocation Casting Time: Action Range: 120 feet Components: V, S, M (a pinch of phosphorus) Duration: #Concentration, up to 1 minute 
Description not available (not OGL)_x000D_
#Warlock #Wizard</v>
      </c>
      <c r="C199" t="str">
        <f t="shared" si="13"/>
        <v>level 5</v>
      </c>
      <c r="D199" s="1" t="s">
        <v>692</v>
      </c>
      <c r="E199" t="str">
        <f t="shared" si="14"/>
        <v>level 5</v>
      </c>
      <c r="F199" t="str">
        <f t="shared" si="15"/>
        <v>NULL</v>
      </c>
      <c r="G199" t="str">
        <f>_xlfn.TEXTJOIN(" ",TRUE,IF(IFERROR(MATCH(SUBSTITUTE(A199,".md",""),'Bard Spells'!A:A,0),0)&gt;0,"#Bard",""),IF(IFERROR(MATCH(SUBSTITUTE(A199,".md",""),'Cleric Spells'!A:A,0),0)&gt;0,"#Cleric",""),IF(IFERROR(MATCH(SUBSTITUTE(A199,".md",""),'Druid Spells'!A:A,0),0)&gt;0,"#Druid",""),IF(IFERROR(MATCH(SUBSTITUTE(A199,".md",""),'Paladin Spells'!A:A,0),0)&gt;0,"#Paladin",""),IF(IFERROR(MATCH(SUBSTITUTE(A199,".md",""),'Ranger Spells'!A:A,0),0)&gt;0,"#Ranger",""),IF(IFERROR(MATCH(SUBSTITUTE(A199,".md",""),'Sorcerer Spells'!A:A,0),0)&gt;0,"#Sorcerer",""),IF(IFERROR(MATCH(SUBSTITUTE(A199,".md",""),'Warlock Spells'!A:A,0),0)&gt;0,"#Warlock",""),IF(IFERROR(MATCH(SUBSTITUTE(A199,".md",""),'Wizard Spells'!A:A,0),0)&gt;0,"#Wizard",""))</f>
        <v>#Warlock #Wizard</v>
      </c>
    </row>
    <row r="200" spans="1:7" ht="120" x14ac:dyDescent="0.25">
      <c r="A200" t="s">
        <v>271</v>
      </c>
      <c r="B200" s="1" t="str">
        <f t="shared" si="12"/>
        <v>level 1 - #transmutation Casting Time: #BonusAction Range: Touch Components: V, S, M (a grasshopper's hind leg) Duration: 1 minute 
You touch a willing creature. Once on each of its turns until the spell ends, that creature can jump up to 30 feet by spending 10 feet of movement. 
Using a Higher-Level Spell Slot. You can target one additional creature for each spell slot level above 1_x000D_
#Druid #Ranger #Sorcerer #Wizard</v>
      </c>
      <c r="C200" t="str">
        <f t="shared" si="13"/>
        <v>level 1</v>
      </c>
      <c r="D200" s="1" t="s">
        <v>1170</v>
      </c>
      <c r="E200" t="str">
        <f t="shared" si="14"/>
        <v>level 1</v>
      </c>
      <c r="F200" t="str">
        <f t="shared" si="15"/>
        <v>NULL</v>
      </c>
      <c r="G200" t="str">
        <f>_xlfn.TEXTJOIN(" ",TRUE,IF(IFERROR(MATCH(SUBSTITUTE(A200,".md",""),'Bard Spells'!A:A,0),0)&gt;0,"#Bard",""),IF(IFERROR(MATCH(SUBSTITUTE(A200,".md",""),'Cleric Spells'!A:A,0),0)&gt;0,"#Cleric",""),IF(IFERROR(MATCH(SUBSTITUTE(A200,".md",""),'Druid Spells'!A:A,0),0)&gt;0,"#Druid",""),IF(IFERROR(MATCH(SUBSTITUTE(A200,".md",""),'Paladin Spells'!A:A,0),0)&gt;0,"#Paladin",""),IF(IFERROR(MATCH(SUBSTITUTE(A200,".md",""),'Ranger Spells'!A:A,0),0)&gt;0,"#Ranger",""),IF(IFERROR(MATCH(SUBSTITUTE(A200,".md",""),'Sorcerer Spells'!A:A,0),0)&gt;0,"#Sorcerer",""),IF(IFERROR(MATCH(SUBSTITUTE(A200,".md",""),'Warlock Spells'!A:A,0),0)&gt;0,"#Warlock",""),IF(IFERROR(MATCH(SUBSTITUTE(A200,".md",""),'Wizard Spells'!A:A,0),0)&gt;0,"#Wizard",""))</f>
        <v>#Druid #Ranger #Sorcerer #Wizard</v>
      </c>
    </row>
    <row r="201" spans="1:7" ht="135" x14ac:dyDescent="0.25">
      <c r="A201" t="s">
        <v>272</v>
      </c>
      <c r="B201" s="1" t="str">
        <f t="shared" si="12"/>
        <v>level 2 - #transmutation Casting Time: Action Range: 60 feet Components: V Duration: Instantaneous 
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the target is held shut by Arcane Lock, that spell is suppressed for 10 minutes, during which time the target can be opened and closed. 
When you cast the spell, a loud knock, audible up to 300 feet away, emanates from the target._x000D_
#Bard #Sorcerer #Wizard</v>
      </c>
      <c r="C201" t="str">
        <f t="shared" si="13"/>
        <v>level 2</v>
      </c>
      <c r="D201" s="1" t="s">
        <v>641</v>
      </c>
      <c r="E201" t="str">
        <f t="shared" si="14"/>
        <v>level 2</v>
      </c>
      <c r="F201" t="str">
        <f t="shared" si="15"/>
        <v>NULL</v>
      </c>
      <c r="G201" t="str">
        <f>_xlfn.TEXTJOIN(" ",TRUE,IF(IFERROR(MATCH(SUBSTITUTE(A201,".md",""),'Bard Spells'!A:A,0),0)&gt;0,"#Bard",""),IF(IFERROR(MATCH(SUBSTITUTE(A201,".md",""),'Cleric Spells'!A:A,0),0)&gt;0,"#Cleric",""),IF(IFERROR(MATCH(SUBSTITUTE(A201,".md",""),'Druid Spells'!A:A,0),0)&gt;0,"#Druid",""),IF(IFERROR(MATCH(SUBSTITUTE(A201,".md",""),'Paladin Spells'!A:A,0),0)&gt;0,"#Paladin",""),IF(IFERROR(MATCH(SUBSTITUTE(A201,".md",""),'Ranger Spells'!A:A,0),0)&gt;0,"#Ranger",""),IF(IFERROR(MATCH(SUBSTITUTE(A201,".md",""),'Sorcerer Spells'!A:A,0),0)&gt;0,"#Sorcerer",""),IF(IFERROR(MATCH(SUBSTITUTE(A201,".md",""),'Warlock Spells'!A:A,0),0)&gt;0,"#Warlock",""),IF(IFERROR(MATCH(SUBSTITUTE(A201,".md",""),'Wizard Spells'!A:A,0),0)&gt;0,"#Wizard",""))</f>
        <v>#Bard #Sorcerer #Wizard</v>
      </c>
    </row>
    <row r="202" spans="1:7" ht="135" x14ac:dyDescent="0.25">
      <c r="A202" t="s">
        <v>273</v>
      </c>
      <c r="B202" s="1" t="str">
        <f t="shared" si="12"/>
        <v>level 5 - #divination Casting Time: 10 minutes Range: Self Components: V, S, M (incense worth 250+ GP, which the spell consumes, and four ivory strips worth 50+ GP each) Duration: Instantaneous 
Name or describe a famous person, place, or object. The spell brings to your mind a brief summary of the significant lore about that famous thing, as described by the DM. 
The lore might consist of important details, amusing revelations, or even secret lore that has never been widely known. The more information you already know about the thing, the more precise and detailed the information you receive is. That information is accurate but might be couched in figurative language or poetry, as determined by the DM. 
If the famous thing you chose isn't actually famous, you hear sad musical notes played on a trombone, and the spell fails_x000D_
#Bard #Cleric #Wizard</v>
      </c>
      <c r="C202" t="str">
        <f t="shared" si="13"/>
        <v>level 5</v>
      </c>
      <c r="D202" s="1" t="s">
        <v>274</v>
      </c>
      <c r="E202" t="str">
        <f t="shared" si="14"/>
        <v>level 5</v>
      </c>
      <c r="F202" t="str">
        <f t="shared" si="15"/>
        <v>NULL</v>
      </c>
      <c r="G202" t="str">
        <f>_xlfn.TEXTJOIN(" ",TRUE,IF(IFERROR(MATCH(SUBSTITUTE(A202,".md",""),'Bard Spells'!A:A,0),0)&gt;0,"#Bard",""),IF(IFERROR(MATCH(SUBSTITUTE(A202,".md",""),'Cleric Spells'!A:A,0),0)&gt;0,"#Cleric",""),IF(IFERROR(MATCH(SUBSTITUTE(A202,".md",""),'Druid Spells'!A:A,0),0)&gt;0,"#Druid",""),IF(IFERROR(MATCH(SUBSTITUTE(A202,".md",""),'Paladin Spells'!A:A,0),0)&gt;0,"#Paladin",""),IF(IFERROR(MATCH(SUBSTITUTE(A202,".md",""),'Ranger Spells'!A:A,0),0)&gt;0,"#Ranger",""),IF(IFERROR(MATCH(SUBSTITUTE(A202,".md",""),'Sorcerer Spells'!A:A,0),0)&gt;0,"#Sorcerer",""),IF(IFERROR(MATCH(SUBSTITUTE(A202,".md",""),'Warlock Spells'!A:A,0),0)&gt;0,"#Warlock",""),IF(IFERROR(MATCH(SUBSTITUTE(A202,".md",""),'Wizard Spells'!A:A,0),0)&gt;0,"#Wizard",""))</f>
        <v>#Bard #Cleric #Wizard</v>
      </c>
    </row>
    <row r="203" spans="1:7" ht="180" x14ac:dyDescent="0.25">
      <c r="A203" t="s">
        <v>275</v>
      </c>
      <c r="B203" s="1" t="str">
        <f t="shared" si="12"/>
        <v>level 4 - #conjuration Casting Time: Action Range: Touch Components: V, S, M (a chest, 3 feet by 2 feet by 2 feet, constructed from rare materials worth 5,000+ GP, and a Tiny replica of the chest made from the same materials worth 50+ GP) Duration: Instantaneous 
You hide a chest and all its contents on the Ethereal Plane. You must touch the chest and the miniature replica that serve as Material components for the spell. The chest can contain up to 12 cubic feet of nonliving material (3 feet by 2 feet by 2 feet). 
While the chest remains on the Ethereal Plane, you can take a Magic action and touch the replica to recall the chest. It appears in an unoccupied space on the ground within 5 feet of you. You can send the chest back to the Ethereal Plane by taking a Magic action to touch the chest and the replica. 
After 60 days, there is a cumulative 5 percent chance at the end of each day that the spell ends. The spell also ends if you cast this spell again or if the Tiny replica chest is destroyed. If the spell ends and the larger chest is on the Ethereal Plane, the chest remains there for you or someone else to find._x000D_
#Wizard</v>
      </c>
      <c r="C203" t="str">
        <f t="shared" si="13"/>
        <v>level 4</v>
      </c>
      <c r="D203" s="1" t="s">
        <v>276</v>
      </c>
      <c r="E203" t="str">
        <f t="shared" si="14"/>
        <v>level 4</v>
      </c>
      <c r="F203" t="str">
        <f t="shared" si="15"/>
        <v>NULL</v>
      </c>
      <c r="G203" t="str">
        <f>_xlfn.TEXTJOIN(" ",TRUE,IF(IFERROR(MATCH(SUBSTITUTE(A203,".md",""),'Bard Spells'!A:A,0),0)&gt;0,"#Bard",""),IF(IFERROR(MATCH(SUBSTITUTE(A203,".md",""),'Cleric Spells'!A:A,0),0)&gt;0,"#Cleric",""),IF(IFERROR(MATCH(SUBSTITUTE(A203,".md",""),'Druid Spells'!A:A,0),0)&gt;0,"#Druid",""),IF(IFERROR(MATCH(SUBSTITUTE(A203,".md",""),'Paladin Spells'!A:A,0),0)&gt;0,"#Paladin",""),IF(IFERROR(MATCH(SUBSTITUTE(A203,".md",""),'Ranger Spells'!A:A,0),0)&gt;0,"#Ranger",""),IF(IFERROR(MATCH(SUBSTITUTE(A203,".md",""),'Sorcerer Spells'!A:A,0),0)&gt;0,"#Sorcerer",""),IF(IFERROR(MATCH(SUBSTITUTE(A203,".md",""),'Warlock Spells'!A:A,0),0)&gt;0,"#Warlock",""),IF(IFERROR(MATCH(SUBSTITUTE(A203,".md",""),'Wizard Spells'!A:A,0),0)&gt;0,"#Wizard",""))</f>
        <v>#Wizard</v>
      </c>
    </row>
    <row r="204" spans="1:7" ht="150" x14ac:dyDescent="0.25">
      <c r="A204" t="s">
        <v>277</v>
      </c>
      <c r="B204" s="1" t="str">
        <f t="shared" si="12"/>
        <v>level 3 - #evocation ( #ritual ) Casting Time: 1 minute or Ritual Range: Self Components: V, S, M (a crystal bead) Duration: 8 hours 
A 10-foot Emanation springs into existence around you and remains stationary for the duration. The spell fails when you cast it if the Emanation isn't big enough to fully encapsulate all creatures in its area. 
Creatures and objects within the Emanation when you cast the spell can move through it freely. All other creatures and objects are barred from passing through it. Spells of level 3 or lower can't be cast through it, and the effects of such spells can't extend into it. The atmosphere inside the Emanation is comfortable and dry, regardless of the weather outside. Until the spell ends, you can command the interior to have Dim Light or Darkness (no action required). The Emanation is opaque from the outside and of any color you choose, but it's transparent from the inside. 
The spell ends early if you leave the Emanation or if you cast it again_x000D_
#Bard #Wizard</v>
      </c>
      <c r="C204" t="str">
        <f t="shared" si="13"/>
        <v>level 3</v>
      </c>
      <c r="D204" s="1" t="s">
        <v>651</v>
      </c>
      <c r="E204" t="str">
        <f t="shared" si="14"/>
        <v>level 3</v>
      </c>
      <c r="F204" t="str">
        <f t="shared" si="15"/>
        <v>NULL</v>
      </c>
      <c r="G204" t="str">
        <f>_xlfn.TEXTJOIN(" ",TRUE,IF(IFERROR(MATCH(SUBSTITUTE(A204,".md",""),'Bard Spells'!A:A,0),0)&gt;0,"#Bard",""),IF(IFERROR(MATCH(SUBSTITUTE(A204,".md",""),'Cleric Spells'!A:A,0),0)&gt;0,"#Cleric",""),IF(IFERROR(MATCH(SUBSTITUTE(A204,".md",""),'Druid Spells'!A:A,0),0)&gt;0,"#Druid",""),IF(IFERROR(MATCH(SUBSTITUTE(A204,".md",""),'Paladin Spells'!A:A,0),0)&gt;0,"#Paladin",""),IF(IFERROR(MATCH(SUBSTITUTE(A204,".md",""),'Ranger Spells'!A:A,0),0)&gt;0,"#Ranger",""),IF(IFERROR(MATCH(SUBSTITUTE(A204,".md",""),'Sorcerer Spells'!A:A,0),0)&gt;0,"#Sorcerer",""),IF(IFERROR(MATCH(SUBSTITUTE(A204,".md",""),'Warlock Spells'!A:A,0),0)&gt;0,"#Warlock",""),IF(IFERROR(MATCH(SUBSTITUTE(A204,".md",""),'Wizard Spells'!A:A,0),0)&gt;0,"#Wizard",""))</f>
        <v>#Bard #Wizard</v>
      </c>
    </row>
    <row r="205" spans="1:7" ht="90" x14ac:dyDescent="0.25">
      <c r="A205" t="s">
        <v>278</v>
      </c>
      <c r="B205" s="1" t="str">
        <f t="shared" si="12"/>
        <v>level 2 - #abjuration Casting Time: #BonusAction Range: Touch Components: V, S Duration: Instantaneous 
You touch a creature and end one condition on it: Blinded, Deafened, Paralyzed, or Poisoned_x000D_
#Bard #Cleric #Druid #Paladin #Ranger</v>
      </c>
      <c r="C205" t="str">
        <f t="shared" si="13"/>
        <v>level 2</v>
      </c>
      <c r="D205" s="1" t="s">
        <v>1171</v>
      </c>
      <c r="E205" t="str">
        <f t="shared" si="14"/>
        <v>level 2</v>
      </c>
      <c r="F205" t="str">
        <f t="shared" si="15"/>
        <v>NULL</v>
      </c>
      <c r="G205" t="str">
        <f>_xlfn.TEXTJOIN(" ",TRUE,IF(IFERROR(MATCH(SUBSTITUTE(A205,".md",""),'Bard Spells'!A:A,0),0)&gt;0,"#Bard",""),IF(IFERROR(MATCH(SUBSTITUTE(A205,".md",""),'Cleric Spells'!A:A,0),0)&gt;0,"#Cleric",""),IF(IFERROR(MATCH(SUBSTITUTE(A205,".md",""),'Druid Spells'!A:A,0),0)&gt;0,"#Druid",""),IF(IFERROR(MATCH(SUBSTITUTE(A205,".md",""),'Paladin Spells'!A:A,0),0)&gt;0,"#Paladin",""),IF(IFERROR(MATCH(SUBSTITUTE(A205,".md",""),'Ranger Spells'!A:A,0),0)&gt;0,"#Ranger",""),IF(IFERROR(MATCH(SUBSTITUTE(A205,".md",""),'Sorcerer Spells'!A:A,0),0)&gt;0,"#Sorcerer",""),IF(IFERROR(MATCH(SUBSTITUTE(A205,".md",""),'Warlock Spells'!A:A,0),0)&gt;0,"#Warlock",""),IF(IFERROR(MATCH(SUBSTITUTE(A205,".md",""),'Wizard Spells'!A:A,0),0)&gt;0,"#Wizard",""))</f>
        <v>#Bard #Cleric #Druid #Paladin #Ranger</v>
      </c>
    </row>
    <row r="206" spans="1:7" ht="150" x14ac:dyDescent="0.25">
      <c r="A206" t="s">
        <v>279</v>
      </c>
      <c r="B206" s="1" t="str">
        <f t="shared" si="12"/>
        <v>level 2 - #transmutation Casting Time: Action Range: 60 feet Components: V, S, M (a metal spring) Duration: #Concentration, up to 10 minutes 
One creature or loose object of your choice that you can see within range rises vertically up to 20 feet and remains suspended there for the duration. The spell can levitate an object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take a Magic action to move the target, which must remain within the spell's range. 
When the spell ends, the target floats gently to the ground if it is still aloft_x000D_
#Sorcerer #Wizard</v>
      </c>
      <c r="C206" t="str">
        <f t="shared" si="13"/>
        <v>level 2</v>
      </c>
      <c r="D206" s="1" t="s">
        <v>693</v>
      </c>
      <c r="E206" t="str">
        <f t="shared" si="14"/>
        <v>level 2</v>
      </c>
      <c r="F206" t="str">
        <f t="shared" si="15"/>
        <v>NULL</v>
      </c>
      <c r="G206" t="str">
        <f>_xlfn.TEXTJOIN(" ",TRUE,IF(IFERROR(MATCH(SUBSTITUTE(A206,".md",""),'Bard Spells'!A:A,0),0)&gt;0,"#Bard",""),IF(IFERROR(MATCH(SUBSTITUTE(A206,".md",""),'Cleric Spells'!A:A,0),0)&gt;0,"#Cleric",""),IF(IFERROR(MATCH(SUBSTITUTE(A206,".md",""),'Druid Spells'!A:A,0),0)&gt;0,"#Druid",""),IF(IFERROR(MATCH(SUBSTITUTE(A206,".md",""),'Paladin Spells'!A:A,0),0)&gt;0,"#Paladin",""),IF(IFERROR(MATCH(SUBSTITUTE(A206,".md",""),'Ranger Spells'!A:A,0),0)&gt;0,"#Ranger",""),IF(IFERROR(MATCH(SUBSTITUTE(A206,".md",""),'Sorcerer Spells'!A:A,0),0)&gt;0,"#Sorcerer",""),IF(IFERROR(MATCH(SUBSTITUTE(A206,".md",""),'Warlock Spells'!A:A,0),0)&gt;0,"#Warlock",""),IF(IFERROR(MATCH(SUBSTITUTE(A206,".md",""),'Wizard Spells'!A:A,0),0)&gt;0,"#Wizard",""))</f>
        <v>#Sorcerer #Wizard</v>
      </c>
    </row>
    <row r="207" spans="1:7" ht="120" x14ac:dyDescent="0.25">
      <c r="A207" t="s">
        <v>280</v>
      </c>
      <c r="B207" s="1" t="str">
        <f t="shared" si="12"/>
        <v>level 0 - #evocation Casting Time: Action Range: Touch Components: V, M (a firefly or phosphorescent moss) Duration: 1 hour 
You touch one Large or smaller object that isn't being worn or carried by someone else. Until the spell ends, the object sheds Bright Light in a 20-foot radius and Dim Light for an additional 20 feet. The light can be colored as you like. 
Covering the object with something opaque blocks the light. The spell ends if you cast it again._x000D_
#Bard #Cleric #Sorcerer #Wizard</v>
      </c>
      <c r="C207" t="str">
        <f t="shared" si="13"/>
        <v>level 0</v>
      </c>
      <c r="D207" s="1" t="s">
        <v>281</v>
      </c>
      <c r="E207" t="str">
        <f t="shared" si="14"/>
        <v>level 0</v>
      </c>
      <c r="F207" t="str">
        <f t="shared" si="15"/>
        <v>NULL</v>
      </c>
      <c r="G207" t="str">
        <f>_xlfn.TEXTJOIN(" ",TRUE,IF(IFERROR(MATCH(SUBSTITUTE(A207,".md",""),'Bard Spells'!A:A,0),0)&gt;0,"#Bard",""),IF(IFERROR(MATCH(SUBSTITUTE(A207,".md",""),'Cleric Spells'!A:A,0),0)&gt;0,"#Cleric",""),IF(IFERROR(MATCH(SUBSTITUTE(A207,".md",""),'Druid Spells'!A:A,0),0)&gt;0,"#Druid",""),IF(IFERROR(MATCH(SUBSTITUTE(A207,".md",""),'Paladin Spells'!A:A,0),0)&gt;0,"#Paladin",""),IF(IFERROR(MATCH(SUBSTITUTE(A207,".md",""),'Ranger Spells'!A:A,0),0)&gt;0,"#Ranger",""),IF(IFERROR(MATCH(SUBSTITUTE(A207,".md",""),'Sorcerer Spells'!A:A,0),0)&gt;0,"#Sorcerer",""),IF(IFERROR(MATCH(SUBSTITUTE(A207,".md",""),'Warlock Spells'!A:A,0),0)&gt;0,"#Warlock",""),IF(IFERROR(MATCH(SUBSTITUTE(A207,".md",""),'Wizard Spells'!A:A,0),0)&gt;0,"#Wizard",""))</f>
        <v>#Bard #Cleric #Sorcerer #Wizard</v>
      </c>
    </row>
    <row r="208" spans="1:7" ht="150" x14ac:dyDescent="0.25">
      <c r="A208" t="s">
        <v>282</v>
      </c>
      <c r="B208" s="1" t="str">
        <f t="shared" si="12"/>
        <v>level 3 - #transmutation Casting Time: #BonusAction, which you can take immediately after hitting or missing a target with a ranged attack using a weapon Range: Self Components: V, S Duration: Instantaneous 
As your attack hits or misses the target, the weapon or ammunition you're using transforms into a lightning bolt. Instead of taking any damage or other effects from the attack, the target takes 4d8 Lightning damage on a hit or half as much damage on a miss. Each creature within 10 feet of the target then makes a Dexterity saving throw, taking 2d8 Lightning damage on a failed save or half as much damage on a successful one. 
The weapon or ammunition then returns to its normal form. 
Using a Higher-Level Spell Slot. The damage for both effects of the spell increases by 1d8 for each spell slot level above 3_x000D_
#Ranger</v>
      </c>
      <c r="C208" t="str">
        <f t="shared" si="13"/>
        <v>level 3</v>
      </c>
      <c r="D208" s="1" t="s">
        <v>1172</v>
      </c>
      <c r="E208" t="str">
        <f t="shared" si="14"/>
        <v>level 3</v>
      </c>
      <c r="F208" t="str">
        <f t="shared" si="15"/>
        <v>NULL</v>
      </c>
      <c r="G208" t="str">
        <f>_xlfn.TEXTJOIN(" ",TRUE,IF(IFERROR(MATCH(SUBSTITUTE(A208,".md",""),'Bard Spells'!A:A,0),0)&gt;0,"#Bard",""),IF(IFERROR(MATCH(SUBSTITUTE(A208,".md",""),'Cleric Spells'!A:A,0),0)&gt;0,"#Cleric",""),IF(IFERROR(MATCH(SUBSTITUTE(A208,".md",""),'Druid Spells'!A:A,0),0)&gt;0,"#Druid",""),IF(IFERROR(MATCH(SUBSTITUTE(A208,".md",""),'Paladin Spells'!A:A,0),0)&gt;0,"#Paladin",""),IF(IFERROR(MATCH(SUBSTITUTE(A208,".md",""),'Ranger Spells'!A:A,0),0)&gt;0,"#Ranger",""),IF(IFERROR(MATCH(SUBSTITUTE(A208,".md",""),'Sorcerer Spells'!A:A,0),0)&gt;0,"#Sorcerer",""),IF(IFERROR(MATCH(SUBSTITUTE(A208,".md",""),'Warlock Spells'!A:A,0),0)&gt;0,"#Warlock",""),IF(IFERROR(MATCH(SUBSTITUTE(A208,".md",""),'Wizard Spells'!A:A,0),0)&gt;0,"#Wizard",""))</f>
        <v>#Ranger</v>
      </c>
    </row>
    <row r="209" spans="1:7" ht="135" x14ac:dyDescent="0.25">
      <c r="A209" t="s">
        <v>283</v>
      </c>
      <c r="B209" s="1" t="str">
        <f t="shared" si="12"/>
        <v>level 3 - #evocation Casting Time: Action Range: Self Components: V, S, M (a bit of fur and a crystal rod) Duration: Instantaneous 
A stroke of lightning forming a 100-foot-long, 5-foot-wide Line blasts out from you in a direction you choose. Each creature in the Line makes a Dexterity saving throw, taking 8d6 Lightning damage on a failed save or half as much damage on a successful one. 
Using a Higher-Level Spell Slot. The damage increases by 1d6 for each spell slot level above 3._x000D_
#Sorcerer #Wizard</v>
      </c>
      <c r="C209" t="str">
        <f t="shared" si="13"/>
        <v>level 3</v>
      </c>
      <c r="D209" s="1" t="s">
        <v>284</v>
      </c>
      <c r="E209" t="str">
        <f t="shared" si="14"/>
        <v>level 3</v>
      </c>
      <c r="F209" t="str">
        <f t="shared" si="15"/>
        <v>NULL</v>
      </c>
      <c r="G209" t="str">
        <f>_xlfn.TEXTJOIN(" ",TRUE,IF(IFERROR(MATCH(SUBSTITUTE(A209,".md",""),'Bard Spells'!A:A,0),0)&gt;0,"#Bard",""),IF(IFERROR(MATCH(SUBSTITUTE(A209,".md",""),'Cleric Spells'!A:A,0),0)&gt;0,"#Cleric",""),IF(IFERROR(MATCH(SUBSTITUTE(A209,".md",""),'Druid Spells'!A:A,0),0)&gt;0,"#Druid",""),IF(IFERROR(MATCH(SUBSTITUTE(A209,".md",""),'Paladin Spells'!A:A,0),0)&gt;0,"#Paladin",""),IF(IFERROR(MATCH(SUBSTITUTE(A209,".md",""),'Ranger Spells'!A:A,0),0)&gt;0,"#Ranger",""),IF(IFERROR(MATCH(SUBSTITUTE(A209,".md",""),'Sorcerer Spells'!A:A,0),0)&gt;0,"#Sorcerer",""),IF(IFERROR(MATCH(SUBSTITUTE(A209,".md",""),'Warlock Spells'!A:A,0),0)&gt;0,"#Warlock",""),IF(IFERROR(MATCH(SUBSTITUTE(A209,".md",""),'Wizard Spells'!A:A,0),0)&gt;0,"#Wizard",""))</f>
        <v>#Sorcerer #Wizard</v>
      </c>
    </row>
    <row r="210" spans="1:7" ht="90" x14ac:dyDescent="0.25">
      <c r="A210" t="s">
        <v>285</v>
      </c>
      <c r="B210" s="1" t="str">
        <f t="shared" si="12"/>
        <v>level 2 - #divination ( #ritual ) Casting Time: Action or Ritual Range: Self Components: V, S, M (fur from a bloodhound) Duration: Instantaneous 
Describe or name a specific kind of Beast, Plant creature, or nonmagical plant. You learn the direction and distance to the closest creature or plant of that kind within 5 miles, if any are present_x000D_
#Bard #Druid #Ranger</v>
      </c>
      <c r="C210" t="str">
        <f t="shared" si="13"/>
        <v>level 2</v>
      </c>
      <c r="D210" s="1" t="s">
        <v>286</v>
      </c>
      <c r="E210" t="str">
        <f t="shared" si="14"/>
        <v>level 2</v>
      </c>
      <c r="F210" t="str">
        <f t="shared" si="15"/>
        <v>NULL</v>
      </c>
      <c r="G210" t="str">
        <f>_xlfn.TEXTJOIN(" ",TRUE,IF(IFERROR(MATCH(SUBSTITUTE(A210,".md",""),'Bard Spells'!A:A,0),0)&gt;0,"#Bard",""),IF(IFERROR(MATCH(SUBSTITUTE(A210,".md",""),'Cleric Spells'!A:A,0),0)&gt;0,"#Cleric",""),IF(IFERROR(MATCH(SUBSTITUTE(A210,".md",""),'Druid Spells'!A:A,0),0)&gt;0,"#Druid",""),IF(IFERROR(MATCH(SUBSTITUTE(A210,".md",""),'Paladin Spells'!A:A,0),0)&gt;0,"#Paladin",""),IF(IFERROR(MATCH(SUBSTITUTE(A210,".md",""),'Ranger Spells'!A:A,0),0)&gt;0,"#Ranger",""),IF(IFERROR(MATCH(SUBSTITUTE(A210,".md",""),'Sorcerer Spells'!A:A,0),0)&gt;0,"#Sorcerer",""),IF(IFERROR(MATCH(SUBSTITUTE(A210,".md",""),'Warlock Spells'!A:A,0),0)&gt;0,"#Warlock",""),IF(IFERROR(MATCH(SUBSTITUTE(A210,".md",""),'Wizard Spells'!A:A,0),0)&gt;0,"#Wizard",""))</f>
        <v>#Bard #Druid #Ranger</v>
      </c>
    </row>
    <row r="211" spans="1:7" ht="135" x14ac:dyDescent="0.25">
      <c r="A211" t="s">
        <v>287</v>
      </c>
      <c r="B211" s="1" t="str">
        <f t="shared" si="12"/>
        <v>level 4 - #divination Casting Time: Action Range: Self Components: V, S, M (fur from a bloodhound) Duration: #Concentration, up to 1 hour 
Describe or name a creature that is familiar to you. You sense the direction to the creature's location if that creature is within 1,000 feet of you. If the creature is moving, you know the direction of its movement. 
The spell can locate a specific creature known to you or the nearest creature of a specific kind (such as a human or a unicorn) if you have seen such a creature up closeâ€”within 30 feetâ€”at least once. If the creature you described or named is in a different form, such as under the effects of a Flesh to Stone or Polymorph spell, this spell doesn't locate the creature. 
This spell can't locate a creature if any thickness of lead blocks a direct path between you and the creature_x000D_
#Bard #Cleric #Druid #Paladin #Ranger #Wizard</v>
      </c>
      <c r="C211" t="str">
        <f t="shared" si="13"/>
        <v>level 4</v>
      </c>
      <c r="D211" s="1" t="s">
        <v>288</v>
      </c>
      <c r="E211" t="str">
        <f t="shared" si="14"/>
        <v>level 4</v>
      </c>
      <c r="F211" t="str">
        <f t="shared" si="15"/>
        <v>NULL</v>
      </c>
      <c r="G211" t="str">
        <f>_xlfn.TEXTJOIN(" ",TRUE,IF(IFERROR(MATCH(SUBSTITUTE(A211,".md",""),'Bard Spells'!A:A,0),0)&gt;0,"#Bard",""),IF(IFERROR(MATCH(SUBSTITUTE(A211,".md",""),'Cleric Spells'!A:A,0),0)&gt;0,"#Cleric",""),IF(IFERROR(MATCH(SUBSTITUTE(A211,".md",""),'Druid Spells'!A:A,0),0)&gt;0,"#Druid",""),IF(IFERROR(MATCH(SUBSTITUTE(A211,".md",""),'Paladin Spells'!A:A,0),0)&gt;0,"#Paladin",""),IF(IFERROR(MATCH(SUBSTITUTE(A211,".md",""),'Ranger Spells'!A:A,0),0)&gt;0,"#Ranger",""),IF(IFERROR(MATCH(SUBSTITUTE(A211,".md",""),'Sorcerer Spells'!A:A,0),0)&gt;0,"#Sorcerer",""),IF(IFERROR(MATCH(SUBSTITUTE(A211,".md",""),'Warlock Spells'!A:A,0),0)&gt;0,"#Warlock",""),IF(IFERROR(MATCH(SUBSTITUTE(A211,".md",""),'Wizard Spells'!A:A,0),0)&gt;0,"#Wizard",""))</f>
        <v>#Bard #Cleric #Druid #Paladin #Ranger #Wizard</v>
      </c>
    </row>
    <row r="212" spans="1:7" ht="135" x14ac:dyDescent="0.25">
      <c r="A212" t="s">
        <v>289</v>
      </c>
      <c r="B212" s="1" t="str">
        <f t="shared" si="12"/>
        <v>level 2 - #divination Casting Time: Action Range: Self Components: V, S, M (a forked twig) Duration: #Concentration, up to 10 minutes 
Describe or name an object that is familiar to you. You sense the direction to the object's location if that object is within 1,000 feet of you. If the object is in motion, you know the direction of its movement. 
The spell can locate a specific object known to you if you have seen it up closeâ€”within 30 feetâ€”at least once. Alternatively, the spell can locate the nearest object of a particular kind, such as a certain kind of apparel, jewelry, furniture, tool, or weapon. 
This spell can't locate an object if any thickness of lead blocks a direct path between you and the object_x000D_
#Bard #Cleric #Druid #Paladin #Ranger #Wizard</v>
      </c>
      <c r="C212" t="str">
        <f t="shared" si="13"/>
        <v>level 2</v>
      </c>
      <c r="D212" s="1" t="s">
        <v>290</v>
      </c>
      <c r="E212" t="str">
        <f t="shared" si="14"/>
        <v>level 2</v>
      </c>
      <c r="F212" t="str">
        <f t="shared" si="15"/>
        <v>NULL</v>
      </c>
      <c r="G212" t="str">
        <f>_xlfn.TEXTJOIN(" ",TRUE,IF(IFERROR(MATCH(SUBSTITUTE(A212,".md",""),'Bard Spells'!A:A,0),0)&gt;0,"#Bard",""),IF(IFERROR(MATCH(SUBSTITUTE(A212,".md",""),'Cleric Spells'!A:A,0),0)&gt;0,"#Cleric",""),IF(IFERROR(MATCH(SUBSTITUTE(A212,".md",""),'Druid Spells'!A:A,0),0)&gt;0,"#Druid",""),IF(IFERROR(MATCH(SUBSTITUTE(A212,".md",""),'Paladin Spells'!A:A,0),0)&gt;0,"#Paladin",""),IF(IFERROR(MATCH(SUBSTITUTE(A212,".md",""),'Ranger Spells'!A:A,0),0)&gt;0,"#Ranger",""),IF(IFERROR(MATCH(SUBSTITUTE(A212,".md",""),'Sorcerer Spells'!A:A,0),0)&gt;0,"#Sorcerer",""),IF(IFERROR(MATCH(SUBSTITUTE(A212,".md",""),'Warlock Spells'!A:A,0),0)&gt;0,"#Warlock",""),IF(IFERROR(MATCH(SUBSTITUTE(A212,".md",""),'Wizard Spells'!A:A,0),0)&gt;0,"#Wizard",""))</f>
        <v>#Bard #Cleric #Druid #Paladin #Ranger #Wizard</v>
      </c>
    </row>
    <row r="213" spans="1:7" ht="120" x14ac:dyDescent="0.25">
      <c r="A213" t="s">
        <v>291</v>
      </c>
      <c r="B213" s="1" t="str">
        <f t="shared" si="12"/>
        <v>level 1 - #transmutation Casting Time: Action Range: Touch Components: V, S, M (a pinch of dirt) Duration: 1 hour 
You touch a creature. The target's Speed increases by 10 feet until the spell ends. 
Using a Higher-Level Spell Slot. You can target one additional creature for each spell slot level above 1_x000D_
#Bard #Druid #Ranger #Wizard</v>
      </c>
      <c r="C213" t="str">
        <f t="shared" si="13"/>
        <v>level 1</v>
      </c>
      <c r="D213" s="1" t="s">
        <v>292</v>
      </c>
      <c r="E213" t="str">
        <f t="shared" si="14"/>
        <v>level 1</v>
      </c>
      <c r="F213" t="str">
        <f t="shared" si="15"/>
        <v>NULL</v>
      </c>
      <c r="G213" t="str">
        <f>_xlfn.TEXTJOIN(" ",TRUE,IF(IFERROR(MATCH(SUBSTITUTE(A213,".md",""),'Bard Spells'!A:A,0),0)&gt;0,"#Bard",""),IF(IFERROR(MATCH(SUBSTITUTE(A213,".md",""),'Cleric Spells'!A:A,0),0)&gt;0,"#Cleric",""),IF(IFERROR(MATCH(SUBSTITUTE(A213,".md",""),'Druid Spells'!A:A,0),0)&gt;0,"#Druid",""),IF(IFERROR(MATCH(SUBSTITUTE(A213,".md",""),'Paladin Spells'!A:A,0),0)&gt;0,"#Paladin",""),IF(IFERROR(MATCH(SUBSTITUTE(A213,".md",""),'Ranger Spells'!A:A,0),0)&gt;0,"#Ranger",""),IF(IFERROR(MATCH(SUBSTITUTE(A213,".md",""),'Sorcerer Spells'!A:A,0),0)&gt;0,"#Sorcerer",""),IF(IFERROR(MATCH(SUBSTITUTE(A213,".md",""),'Warlock Spells'!A:A,0),0)&gt;0,"#Warlock",""),IF(IFERROR(MATCH(SUBSTITUTE(A213,".md",""),'Wizard Spells'!A:A,0),0)&gt;0,"#Wizard",""))</f>
        <v>#Bard #Druid #Ranger #Wizard</v>
      </c>
    </row>
    <row r="214" spans="1:7" ht="90" x14ac:dyDescent="0.25">
      <c r="A214" t="s">
        <v>293</v>
      </c>
      <c r="B214" s="1" t="str">
        <f t="shared" si="12"/>
        <v>level 1 - #abjuration Casting Time: Action Range: Touch Components: V, S, M (a piece of cured leather) Duration: 8 hours 
You touch a willing creature who isn't wearing armor. Until the spell ends, the target's base AC becomes 13 plus its Dexterity modifier. The spell ends early if the target dons armor_x000D_
#Sorcerer #Wizard</v>
      </c>
      <c r="C214" t="str">
        <f t="shared" si="13"/>
        <v>level 1</v>
      </c>
      <c r="D214" s="1" t="s">
        <v>294</v>
      </c>
      <c r="E214" t="str">
        <f t="shared" si="14"/>
        <v>level 1</v>
      </c>
      <c r="F214" t="str">
        <f t="shared" si="15"/>
        <v>NULL</v>
      </c>
      <c r="G214" t="str">
        <f>_xlfn.TEXTJOIN(" ",TRUE,IF(IFERROR(MATCH(SUBSTITUTE(A214,".md",""),'Bard Spells'!A:A,0),0)&gt;0,"#Bard",""),IF(IFERROR(MATCH(SUBSTITUTE(A214,".md",""),'Cleric Spells'!A:A,0),0)&gt;0,"#Cleric",""),IF(IFERROR(MATCH(SUBSTITUTE(A214,".md",""),'Druid Spells'!A:A,0),0)&gt;0,"#Druid",""),IF(IFERROR(MATCH(SUBSTITUTE(A214,".md",""),'Paladin Spells'!A:A,0),0)&gt;0,"#Paladin",""),IF(IFERROR(MATCH(SUBSTITUTE(A214,".md",""),'Ranger Spells'!A:A,0),0)&gt;0,"#Ranger",""),IF(IFERROR(MATCH(SUBSTITUTE(A214,".md",""),'Sorcerer Spells'!A:A,0),0)&gt;0,"#Sorcerer",""),IF(IFERROR(MATCH(SUBSTITUTE(A214,".md",""),'Warlock Spells'!A:A,0),0)&gt;0,"#Warlock",""),IF(IFERROR(MATCH(SUBSTITUTE(A214,".md",""),'Wizard Spells'!A:A,0),0)&gt;0,"#Wizard",""))</f>
        <v>#Sorcerer #Wizard</v>
      </c>
    </row>
    <row r="215" spans="1:7" ht="135" x14ac:dyDescent="0.25">
      <c r="A215" t="s">
        <v>295</v>
      </c>
      <c r="B215" s="1" t="str">
        <f t="shared" si="12"/>
        <v>level 0 - #conjuration Casting Time: Action Range: 30 feet Components: V, S Duration: 1 minute 
A spectral, floating hand appears at a point you choose within range. The hand lasts for the duration. The hand vanishes if it is ever more than 30 feet away from you or if you cast this spell again. When you cast the spell, you can use the hand to manipulate an object, open an unlocked door or container, stow or retrieve an item from an open container, or pour the contents out of a vial. 
As a Magic action on your later turns, you can control the hand thus again. As part of that action, you can move the hand up to 30 feet.
The hand can't attack, activate magic items, or carry more than 10 pounds_x000D_
#Bard #Sorcerer #Warlock #Wizard</v>
      </c>
      <c r="C215" t="str">
        <f t="shared" si="13"/>
        <v>level 0</v>
      </c>
      <c r="D215" s="1" t="s">
        <v>296</v>
      </c>
      <c r="E215" t="str">
        <f t="shared" si="14"/>
        <v>level 0</v>
      </c>
      <c r="F215" t="str">
        <f t="shared" si="15"/>
        <v>NULL</v>
      </c>
      <c r="G215" t="str">
        <f>_xlfn.TEXTJOIN(" ",TRUE,IF(IFERROR(MATCH(SUBSTITUTE(A215,".md",""),'Bard Spells'!A:A,0),0)&gt;0,"#Bard",""),IF(IFERROR(MATCH(SUBSTITUTE(A215,".md",""),'Cleric Spells'!A:A,0),0)&gt;0,"#Cleric",""),IF(IFERROR(MATCH(SUBSTITUTE(A215,".md",""),'Druid Spells'!A:A,0),0)&gt;0,"#Druid",""),IF(IFERROR(MATCH(SUBSTITUTE(A215,".md",""),'Paladin Spells'!A:A,0),0)&gt;0,"#Paladin",""),IF(IFERROR(MATCH(SUBSTITUTE(A215,".md",""),'Ranger Spells'!A:A,0),0)&gt;0,"#Ranger",""),IF(IFERROR(MATCH(SUBSTITUTE(A215,".md",""),'Sorcerer Spells'!A:A,0),0)&gt;0,"#Sorcerer",""),IF(IFERROR(MATCH(SUBSTITUTE(A215,".md",""),'Warlock Spells'!A:A,0),0)&gt;0,"#Warlock",""),IF(IFERROR(MATCH(SUBSTITUTE(A215,".md",""),'Wizard Spells'!A:A,0),0)&gt;0,"#Wizard",""))</f>
        <v>#Bard #Sorcerer #Warlock #Wizard</v>
      </c>
    </row>
    <row r="216" spans="1:7" ht="210" x14ac:dyDescent="0.25">
      <c r="A216" t="s">
        <v>297</v>
      </c>
      <c r="B216" s="1" t="str">
        <f t="shared" si="12"/>
        <v>level 3 - #abjuration Casting Time: 1 minute Range: 10 feet Components: V, S, M (salt and powdered silver worth 100+ GP, which the spell consumes) Duration: 1 hour 
You create a 10-foot-radius, 20-foot-tall Cylinder of magical energy centered on a point on the ground that you can see within range. Glowing runes appear wherever the Cylinder intersects with the floor or other surface. 
Choose one or more of the following types of creatures: Celestials, Elementals, Fey, Fiends, or Undead. The circle affects a creature of the chosen type in the following ways: 
â€¢ The creature can't willingly enter the Cylinder by nonmagical means. If the creature tries to use teleportation or interplanar travel to do so, it must first succeed on a Charisma saving throw. 
â€¢ The creature has Disadvantage on attack rolls against targets within the Cylinder. 
â€¢ Targets within the Cylinder can't be possessed by or gain the Charmed or Frightened condition from the creature. 
Each time you cast this spell, you can cause its magic to operate in the reverse direction, preventing a creature of the specified type from leaving the Cylinder and protecting targets outside it. 
Using a Higher-Level Spell Slot. The duration increases by 1 hour for each spell slot level above 3_x000D_
#Cleric #Paladin #Warlock #Wizard</v>
      </c>
      <c r="C216" t="str">
        <f t="shared" si="13"/>
        <v>level 3</v>
      </c>
      <c r="D216" s="1" t="s">
        <v>298</v>
      </c>
      <c r="E216" t="str">
        <f t="shared" si="14"/>
        <v>level 3</v>
      </c>
      <c r="F216" t="str">
        <f t="shared" si="15"/>
        <v>NULL</v>
      </c>
      <c r="G216" t="str">
        <f>_xlfn.TEXTJOIN(" ",TRUE,IF(IFERROR(MATCH(SUBSTITUTE(A216,".md",""),'Bard Spells'!A:A,0),0)&gt;0,"#Bard",""),IF(IFERROR(MATCH(SUBSTITUTE(A216,".md",""),'Cleric Spells'!A:A,0),0)&gt;0,"#Cleric",""),IF(IFERROR(MATCH(SUBSTITUTE(A216,".md",""),'Druid Spells'!A:A,0),0)&gt;0,"#Druid",""),IF(IFERROR(MATCH(SUBSTITUTE(A216,".md",""),'Paladin Spells'!A:A,0),0)&gt;0,"#Paladin",""),IF(IFERROR(MATCH(SUBSTITUTE(A216,".md",""),'Ranger Spells'!A:A,0),0)&gt;0,"#Ranger",""),IF(IFERROR(MATCH(SUBSTITUTE(A216,".md",""),'Sorcerer Spells'!A:A,0),0)&gt;0,"#Sorcerer",""),IF(IFERROR(MATCH(SUBSTITUTE(A216,".md",""),'Warlock Spells'!A:A,0),0)&gt;0,"#Warlock",""),IF(IFERROR(MATCH(SUBSTITUTE(A216,".md",""),'Wizard Spells'!A:A,0),0)&gt;0,"#Wizard",""))</f>
        <v>#Cleric #Paladin #Warlock #Wizard</v>
      </c>
    </row>
    <row r="217" spans="1:7" ht="270" x14ac:dyDescent="0.25">
      <c r="A217" t="s">
        <v>299</v>
      </c>
      <c r="B217" s="1" t="str">
        <f t="shared" si="12"/>
        <v>level 6 - #necromancy Casting Time: 1 minute Range: Self Components: V, S, M (a gem, crystal, or reliquary worth 500+ GP) Duration: Until dispelled 
Your body falls into a catatonic state as your soul leaves it and enters the container you used for the spell's Material component. While your soul inhabits the container, you are aware of your surroundings as if you were in the container's space. You can't move or take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 can't be possessed). The target makes a Charisma saving throw. On a failed save, your soul enters the target's body, and the target's soul becomes trapped in the container. On a successful save, the target resists your efforts to possess it, and you can't attempt to possess it again for 24 hours. Once you possess a creature's body, you control it. Your Hit Points, Hit Point Dice, Strength, Dexterity, Constitution, Speed, and senses are replaced by the creature's. You otherwise keep your game statistics. 
Meanwhile, the possessed creature's soul can perceive from the container using its own senses, but it can't move and it is Incapacitated. 
While possessing a body, you can take a Magic action to return from the host body to the container if it is within 100 feet of you, returning the host creature's soul to its body. If the host body dies while you're in it, the creature dies, and you make a Charisma saving throw against your own spellcasting DC. On a success, you return to the container if it is within 100 feet of you. Otherwise, you die. 
If the container is destroyed or the spell ends, your soul returns to your body. If your body is more than 100 feet away from you or if your body is dead, you die. If another creature's soul is in the container when it is destroyed, the creature's soul returns to its body if the body is alive and within 100 feet. Otherwise, that creature dies.
When the spell ends, the container is destroyed_x000D_
#Wizard</v>
      </c>
      <c r="C217" t="str">
        <f t="shared" si="13"/>
        <v>level 6</v>
      </c>
      <c r="D217" s="1" t="s">
        <v>300</v>
      </c>
      <c r="E217" t="str">
        <f t="shared" si="14"/>
        <v>level 6</v>
      </c>
      <c r="F217" t="str">
        <f t="shared" si="15"/>
        <v>NULL</v>
      </c>
      <c r="G217" t="str">
        <f>_xlfn.TEXTJOIN(" ",TRUE,IF(IFERROR(MATCH(SUBSTITUTE(A217,".md",""),'Bard Spells'!A:A,0),0)&gt;0,"#Bard",""),IF(IFERROR(MATCH(SUBSTITUTE(A217,".md",""),'Cleric Spells'!A:A,0),0)&gt;0,"#Cleric",""),IF(IFERROR(MATCH(SUBSTITUTE(A217,".md",""),'Druid Spells'!A:A,0),0)&gt;0,"#Druid",""),IF(IFERROR(MATCH(SUBSTITUTE(A217,".md",""),'Paladin Spells'!A:A,0),0)&gt;0,"#Paladin",""),IF(IFERROR(MATCH(SUBSTITUTE(A217,".md",""),'Ranger Spells'!A:A,0),0)&gt;0,"#Ranger",""),IF(IFERROR(MATCH(SUBSTITUTE(A217,".md",""),'Sorcerer Spells'!A:A,0),0)&gt;0,"#Sorcerer",""),IF(IFERROR(MATCH(SUBSTITUTE(A217,".md",""),'Warlock Spells'!A:A,0),0)&gt;0,"#Warlock",""),IF(IFERROR(MATCH(SUBSTITUTE(A217,".md",""),'Wizard Spells'!A:A,0),0)&gt;0,"#Wizard",""))</f>
        <v>#Wizard</v>
      </c>
    </row>
    <row r="218" spans="1:7" ht="135" x14ac:dyDescent="0.25">
      <c r="A218" t="s">
        <v>301</v>
      </c>
      <c r="B218" s="1" t="str">
        <f t="shared" si="12"/>
        <v>level 1 - #evocation Casting Time: Action Range: 120 feet Components: V, S Duration: Instantaneous 
You create three glowing darts of magical force. Each dart strikes a creature of your choice that you can see within range. A dart deals 1d4 + 1 Force damage to its target. The darts all strike simultaneously, and you can direct them to hit one creature or several. 
Using a Higher-Level Spell Slot. The spell creates one more dart for each spell slot level above 1._x000D_
#Sorcerer #Wizard</v>
      </c>
      <c r="C218" t="str">
        <f t="shared" si="13"/>
        <v>level 1</v>
      </c>
      <c r="D218" s="1" t="s">
        <v>302</v>
      </c>
      <c r="E218" t="str">
        <f t="shared" si="14"/>
        <v>level 1</v>
      </c>
      <c r="F218" t="str">
        <f t="shared" si="15"/>
        <v>NULL</v>
      </c>
      <c r="G218" t="str">
        <f>_xlfn.TEXTJOIN(" ",TRUE,IF(IFERROR(MATCH(SUBSTITUTE(A218,".md",""),'Bard Spells'!A:A,0),0)&gt;0,"#Bard",""),IF(IFERROR(MATCH(SUBSTITUTE(A218,".md",""),'Cleric Spells'!A:A,0),0)&gt;0,"#Cleric",""),IF(IFERROR(MATCH(SUBSTITUTE(A218,".md",""),'Druid Spells'!A:A,0),0)&gt;0,"#Druid",""),IF(IFERROR(MATCH(SUBSTITUTE(A218,".md",""),'Paladin Spells'!A:A,0),0)&gt;0,"#Paladin",""),IF(IFERROR(MATCH(SUBSTITUTE(A218,".md",""),'Ranger Spells'!A:A,0),0)&gt;0,"#Ranger",""),IF(IFERROR(MATCH(SUBSTITUTE(A218,".md",""),'Sorcerer Spells'!A:A,0),0)&gt;0,"#Sorcerer",""),IF(IFERROR(MATCH(SUBSTITUTE(A218,".md",""),'Warlock Spells'!A:A,0),0)&gt;0,"#Warlock",""),IF(IFERROR(MATCH(SUBSTITUTE(A218,".md",""),'Wizard Spells'!A:A,0),0)&gt;0,"#Wizard",""))</f>
        <v>#Sorcerer #Wizard</v>
      </c>
    </row>
    <row r="219" spans="1:7" ht="180" x14ac:dyDescent="0.25">
      <c r="A219" t="s">
        <v>303</v>
      </c>
      <c r="B219" s="1" t="str">
        <f t="shared" si="12"/>
        <v>level 2 - #illusion ( #ritual ) Casting Time: 1 minute or Ritual Range: 30 feet Components: V, S, M (jade dust worth 10+ GP, which the spell consumes) Duration: Until dispelled 
You implant a message within an object in rangeâ€”a message that is uttered when a trigger condition is met. Choose an object that you can see and that isn't being worn or carried by another creature. Then speak the message, which must be 25 words or fewer, though it can be delivered over as long as 10 minutes. Finally, determine the circumstance that will trigger the spell to deliver your message. When that trigger occurs, a magical mouth appears on the object and recites the message in your voice and at the same volume you spoke. If the object you chose has a mouth or something that looks like a mouth (for example, the mouth of a statue), the magical mouth appears there, so the words appear to come from the object's mouth. When you cast this spell, you can have the spell end after it delivers its message, or it can remain and repeat its message whenever the trigger occurs. 
The trigger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it._x000D_
#Bard #Wizard</v>
      </c>
      <c r="C219" t="str">
        <f t="shared" si="13"/>
        <v>level 2</v>
      </c>
      <c r="D219" s="1" t="s">
        <v>652</v>
      </c>
      <c r="E219" t="str">
        <f t="shared" si="14"/>
        <v>level 2</v>
      </c>
      <c r="F219" t="str">
        <f t="shared" si="15"/>
        <v>NULL</v>
      </c>
      <c r="G219" t="str">
        <f>_xlfn.TEXTJOIN(" ",TRUE,IF(IFERROR(MATCH(SUBSTITUTE(A219,".md",""),'Bard Spells'!A:A,0),0)&gt;0,"#Bard",""),IF(IFERROR(MATCH(SUBSTITUTE(A219,".md",""),'Cleric Spells'!A:A,0),0)&gt;0,"#Cleric",""),IF(IFERROR(MATCH(SUBSTITUTE(A219,".md",""),'Druid Spells'!A:A,0),0)&gt;0,"#Druid",""),IF(IFERROR(MATCH(SUBSTITUTE(A219,".md",""),'Paladin Spells'!A:A,0),0)&gt;0,"#Paladin",""),IF(IFERROR(MATCH(SUBSTITUTE(A219,".md",""),'Ranger Spells'!A:A,0),0)&gt;0,"#Ranger",""),IF(IFERROR(MATCH(SUBSTITUTE(A219,".md",""),'Sorcerer Spells'!A:A,0),0)&gt;0,"#Sorcerer",""),IF(IFERROR(MATCH(SUBSTITUTE(A219,".md",""),'Warlock Spells'!A:A,0),0)&gt;0,"#Warlock",""),IF(IFERROR(MATCH(SUBSTITUTE(A219,".md",""),'Wizard Spells'!A:A,0),0)&gt;0,"#Wizard",""))</f>
        <v>#Bard #Wizard</v>
      </c>
    </row>
    <row r="220" spans="1:7" ht="120" x14ac:dyDescent="0.25">
      <c r="A220" t="s">
        <v>304</v>
      </c>
      <c r="B220" s="1" t="str">
        <f t="shared" si="12"/>
        <v>level 2 - #transmutation Casting Time: #BonusAction Range: Touch Components: V, S Duration: 1 hour 
You touch a nonmagical weapon. Until the spell ends, that weapon becomes a magic weapon with a +1 bonus to attack rolls and damage rolls. The spell ends early if you cast it again. 
Using a Higher-Level Spell Slot. The bonus increases to +2 with a level 3â€“5 spell slot. The bonus increases to +3 with a level 6+ spell slot._x000D_
#Paladin #Ranger #Sorcerer #Wizard</v>
      </c>
      <c r="C220" t="str">
        <f t="shared" si="13"/>
        <v>level 2</v>
      </c>
      <c r="D220" s="1" t="s">
        <v>1173</v>
      </c>
      <c r="E220" t="str">
        <f t="shared" si="14"/>
        <v>level 2</v>
      </c>
      <c r="F220" t="str">
        <f t="shared" si="15"/>
        <v>NULL</v>
      </c>
      <c r="G220" t="str">
        <f>_xlfn.TEXTJOIN(" ",TRUE,IF(IFERROR(MATCH(SUBSTITUTE(A220,".md",""),'Bard Spells'!A:A,0),0)&gt;0,"#Bard",""),IF(IFERROR(MATCH(SUBSTITUTE(A220,".md",""),'Cleric Spells'!A:A,0),0)&gt;0,"#Cleric",""),IF(IFERROR(MATCH(SUBSTITUTE(A220,".md",""),'Druid Spells'!A:A,0),0)&gt;0,"#Druid",""),IF(IFERROR(MATCH(SUBSTITUTE(A220,".md",""),'Paladin Spells'!A:A,0),0)&gt;0,"#Paladin",""),IF(IFERROR(MATCH(SUBSTITUTE(A220,".md",""),'Ranger Spells'!A:A,0),0)&gt;0,"#Ranger",""),IF(IFERROR(MATCH(SUBSTITUTE(A220,".md",""),'Sorcerer Spells'!A:A,0),0)&gt;0,"#Sorcerer",""),IF(IFERROR(MATCH(SUBSTITUTE(A220,".md",""),'Warlock Spells'!A:A,0),0)&gt;0,"#Warlock",""),IF(IFERROR(MATCH(SUBSTITUTE(A220,".md",""),'Wizard Spells'!A:A,0),0)&gt;0,"#Wizard",""))</f>
        <v>#Paladin #Ranger #Sorcerer #Wizard</v>
      </c>
    </row>
    <row r="221" spans="1:7" ht="210" x14ac:dyDescent="0.25">
      <c r="A221" t="s">
        <v>305</v>
      </c>
      <c r="B221" s="1" t="str">
        <f t="shared" si="12"/>
        <v>level 3 - #illusion Casting Time: Action Range: 120 feet Components: V, S, M (a bit of fleece) Duration: #Concentration, up to 10 minutes 
You create the image of an object, a creature, or some other visible phenomenon that is no larger than a 20-foot Cube. The image appears at a spot that you can see within range and lasts for the duration. It seems real, including sounds, smells, and temperature appropriate to the thing depicted, but it can't deal damage or cause conditions. 
If you are within range of the illusion, you can take a Magic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for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 
Using a Higher-Level Spell Slot. The spell lasts until dispelled, without requiring #Concentration, if cast with a level 4+ spell slot_x000D_
#Bard #Sorcerer #Warlock #Wizard</v>
      </c>
      <c r="C221" t="str">
        <f t="shared" si="13"/>
        <v>level 3</v>
      </c>
      <c r="D221" s="1" t="s">
        <v>703</v>
      </c>
      <c r="E221" t="str">
        <f t="shared" si="14"/>
        <v>level 3</v>
      </c>
      <c r="F221" t="str">
        <f t="shared" si="15"/>
        <v>NULL</v>
      </c>
      <c r="G221" t="str">
        <f>_xlfn.TEXTJOIN(" ",TRUE,IF(IFERROR(MATCH(SUBSTITUTE(A221,".md",""),'Bard Spells'!A:A,0),0)&gt;0,"#Bard",""),IF(IFERROR(MATCH(SUBSTITUTE(A221,".md",""),'Cleric Spells'!A:A,0),0)&gt;0,"#Cleric",""),IF(IFERROR(MATCH(SUBSTITUTE(A221,".md",""),'Druid Spells'!A:A,0),0)&gt;0,"#Druid",""),IF(IFERROR(MATCH(SUBSTITUTE(A221,".md",""),'Paladin Spells'!A:A,0),0)&gt;0,"#Paladin",""),IF(IFERROR(MATCH(SUBSTITUTE(A221,".md",""),'Ranger Spells'!A:A,0),0)&gt;0,"#Ranger",""),IF(IFERROR(MATCH(SUBSTITUTE(A221,".md",""),'Sorcerer Spells'!A:A,0),0)&gt;0,"#Sorcerer",""),IF(IFERROR(MATCH(SUBSTITUTE(A221,".md",""),'Warlock Spells'!A:A,0),0)&gt;0,"#Warlock",""),IF(IFERROR(MATCH(SUBSTITUTE(A221,".md",""),'Wizard Spells'!A:A,0),0)&gt;0,"#Wizard",""))</f>
        <v>#Bard #Sorcerer #Warlock #Wizard</v>
      </c>
    </row>
    <row r="222" spans="1:7" ht="135" x14ac:dyDescent="0.25">
      <c r="A222" t="s">
        <v>306</v>
      </c>
      <c r="B222" s="1" t="str">
        <f t="shared" si="12"/>
        <v>level 5 - #abjuration Casting Time: Action Range: 60 feet Components: V, S Duration: Instantaneous 
A wave of healing energy washes out from a point you can see within range. Choose up to six creatures in a 30-foot-radius Sphere centered on that point. Each target regains Hit Points equal to 5d8 plus your spellcasting ability modifier. 
Using a Higher-Level Spell Slot. The healing increases by 1d8 for each spell slot level above 5_x000D_
#Bard #Cleric #Druid</v>
      </c>
      <c r="C222" t="str">
        <f t="shared" si="13"/>
        <v>level 5</v>
      </c>
      <c r="D222" s="1" t="s">
        <v>642</v>
      </c>
      <c r="E222" t="str">
        <f t="shared" si="14"/>
        <v>level 5</v>
      </c>
      <c r="F222" t="str">
        <f t="shared" si="15"/>
        <v>NULL</v>
      </c>
      <c r="G222" t="str">
        <f>_xlfn.TEXTJOIN(" ",TRUE,IF(IFERROR(MATCH(SUBSTITUTE(A222,".md",""),'Bard Spells'!A:A,0),0)&gt;0,"#Bard",""),IF(IFERROR(MATCH(SUBSTITUTE(A222,".md",""),'Cleric Spells'!A:A,0),0)&gt;0,"#Cleric",""),IF(IFERROR(MATCH(SUBSTITUTE(A222,".md",""),'Druid Spells'!A:A,0),0)&gt;0,"#Druid",""),IF(IFERROR(MATCH(SUBSTITUTE(A222,".md",""),'Paladin Spells'!A:A,0),0)&gt;0,"#Paladin",""),IF(IFERROR(MATCH(SUBSTITUTE(A222,".md",""),'Ranger Spells'!A:A,0),0)&gt;0,"#Ranger",""),IF(IFERROR(MATCH(SUBSTITUTE(A222,".md",""),'Sorcerer Spells'!A:A,0),0)&gt;0,"#Sorcerer",""),IF(IFERROR(MATCH(SUBSTITUTE(A222,".md",""),'Warlock Spells'!A:A,0),0)&gt;0,"#Warlock",""),IF(IFERROR(MATCH(SUBSTITUTE(A222,".md",""),'Wizard Spells'!A:A,0),0)&gt;0,"#Wizard",""))</f>
        <v>#Bard #Cleric #Druid</v>
      </c>
    </row>
    <row r="223" spans="1:7" ht="105" x14ac:dyDescent="0.25">
      <c r="A223" t="s">
        <v>307</v>
      </c>
      <c r="B223" s="1" t="str">
        <f t="shared" si="12"/>
        <v>level 9 - #abjuration Casting Time: Action Range: 60 feet Components: V, S Duration: Instantaneous 
A flood of healing energy flows from you into creatures around you. You restore up to 700 Hit Points, divided as you choose among any number of creatures that you can see within range. Creatures healed by this spell also have the Blinded, Deafened, and Poisoned conditions removed from them._x000D_
#Cleric</v>
      </c>
      <c r="C223" t="str">
        <f t="shared" si="13"/>
        <v>level 9</v>
      </c>
      <c r="D223" s="1" t="s">
        <v>308</v>
      </c>
      <c r="E223" t="str">
        <f t="shared" si="14"/>
        <v>level 9</v>
      </c>
      <c r="F223" t="str">
        <f t="shared" si="15"/>
        <v>NULL</v>
      </c>
      <c r="G223" t="str">
        <f>_xlfn.TEXTJOIN(" ",TRUE,IF(IFERROR(MATCH(SUBSTITUTE(A223,".md",""),'Bard Spells'!A:A,0),0)&gt;0,"#Bard",""),IF(IFERROR(MATCH(SUBSTITUTE(A223,".md",""),'Cleric Spells'!A:A,0),0)&gt;0,"#Cleric",""),IF(IFERROR(MATCH(SUBSTITUTE(A223,".md",""),'Druid Spells'!A:A,0),0)&gt;0,"#Druid",""),IF(IFERROR(MATCH(SUBSTITUTE(A223,".md",""),'Paladin Spells'!A:A,0),0)&gt;0,"#Paladin",""),IF(IFERROR(MATCH(SUBSTITUTE(A223,".md",""),'Ranger Spells'!A:A,0),0)&gt;0,"#Ranger",""),IF(IFERROR(MATCH(SUBSTITUTE(A223,".md",""),'Sorcerer Spells'!A:A,0),0)&gt;0,"#Sorcerer",""),IF(IFERROR(MATCH(SUBSTITUTE(A223,".md",""),'Warlock Spells'!A:A,0),0)&gt;0,"#Warlock",""),IF(IFERROR(MATCH(SUBSTITUTE(A223,".md",""),'Wizard Spells'!A:A,0),0)&gt;0,"#Wizard",""))</f>
        <v>#Cleric</v>
      </c>
    </row>
    <row r="224" spans="1:7" ht="120" x14ac:dyDescent="0.25">
      <c r="A224" t="s">
        <v>309</v>
      </c>
      <c r="B224" s="1" t="str">
        <f t="shared" si="12"/>
        <v>level 3 - #abjuration Casting Time: #BonusAction Range: 60 feet Components: V Duration: Instantaneous 
Up to six creatures of your choice that you can see within range regain Hit Points equal to 2d4 plus your spellcasting ability modifier. 
Using a Higher-Level Spell Slot. The healing increases by 1d4 for each spell slot level above 3._x000D_
#Bard #Cleric</v>
      </c>
      <c r="C224" t="str">
        <f t="shared" si="13"/>
        <v>level 3</v>
      </c>
      <c r="D224" s="1" t="s">
        <v>1174</v>
      </c>
      <c r="E224" t="str">
        <f t="shared" si="14"/>
        <v>level 3</v>
      </c>
      <c r="F224" t="str">
        <f t="shared" si="15"/>
        <v>NULL</v>
      </c>
      <c r="G224" t="str">
        <f>_xlfn.TEXTJOIN(" ",TRUE,IF(IFERROR(MATCH(SUBSTITUTE(A224,".md",""),'Bard Spells'!A:A,0),0)&gt;0,"#Bard",""),IF(IFERROR(MATCH(SUBSTITUTE(A224,".md",""),'Cleric Spells'!A:A,0),0)&gt;0,"#Cleric",""),IF(IFERROR(MATCH(SUBSTITUTE(A224,".md",""),'Druid Spells'!A:A,0),0)&gt;0,"#Druid",""),IF(IFERROR(MATCH(SUBSTITUTE(A224,".md",""),'Paladin Spells'!A:A,0),0)&gt;0,"#Paladin",""),IF(IFERROR(MATCH(SUBSTITUTE(A224,".md",""),'Ranger Spells'!A:A,0),0)&gt;0,"#Ranger",""),IF(IFERROR(MATCH(SUBSTITUTE(A224,".md",""),'Sorcerer Spells'!A:A,0),0)&gt;0,"#Sorcerer",""),IF(IFERROR(MATCH(SUBSTITUTE(A224,".md",""),'Warlock Spells'!A:A,0),0)&gt;0,"#Warlock",""),IF(IFERROR(MATCH(SUBSTITUTE(A224,".md",""),'Wizard Spells'!A:A,0),0)&gt;0,"#Wizard",""))</f>
        <v>#Bard #Cleric</v>
      </c>
    </row>
    <row r="225" spans="1:7" ht="180" x14ac:dyDescent="0.25">
      <c r="A225" t="s">
        <v>310</v>
      </c>
      <c r="B225" s="1" t="str">
        <f t="shared" si="12"/>
        <v>level 6 - #enchantment Casting Time: Action Range: 60 feet Components: V, M (a snake's tongue) Duration: 24 hours 
You suggest a course of activityâ€”described in no more than 25 wordsâ€”to twelve or fewer creatures you can see within range that can hear and understand you. The suggestion must sound achievable and not involve anything that would obviously deal damage to any of the targets or their allies. For example, you could say, â€œWalk to the village down that road, and help the villagers there harvest crops until sunset.â€ Or you could say, â€œNow is not the time for violence. Drop your weapons, and dance! Stop in an hour.â€ Each target must succeed on a Wisdom saving throw or have the Charmed condition for the duration or until you or your allies deal damage to the target. Each Charmed target pursues the suggestion to the best of its ability. The suggested activity can continue for the entire duration, but if the suggested activity can be completed in a shorter time, the spell ends for a target upon completing it. 
Using a Higher-Level Spell Slot. The duration is longer with a spell slot of level 7 (10 days), 8 (30 days), or 9 (366 days)_x000D_
#Bard #Sorcerer #Wizard</v>
      </c>
      <c r="C225" t="str">
        <f t="shared" si="13"/>
        <v>level 6</v>
      </c>
      <c r="D225" s="1" t="s">
        <v>311</v>
      </c>
      <c r="E225" t="str">
        <f t="shared" si="14"/>
        <v>level 6</v>
      </c>
      <c r="F225" t="str">
        <f t="shared" si="15"/>
        <v>NULL</v>
      </c>
      <c r="G225" t="str">
        <f>_xlfn.TEXTJOIN(" ",TRUE,IF(IFERROR(MATCH(SUBSTITUTE(A225,".md",""),'Bard Spells'!A:A,0),0)&gt;0,"#Bard",""),IF(IFERROR(MATCH(SUBSTITUTE(A225,".md",""),'Cleric Spells'!A:A,0),0)&gt;0,"#Cleric",""),IF(IFERROR(MATCH(SUBSTITUTE(A225,".md",""),'Druid Spells'!A:A,0),0)&gt;0,"#Druid",""),IF(IFERROR(MATCH(SUBSTITUTE(A225,".md",""),'Paladin Spells'!A:A,0),0)&gt;0,"#Paladin",""),IF(IFERROR(MATCH(SUBSTITUTE(A225,".md",""),'Ranger Spells'!A:A,0),0)&gt;0,"#Ranger",""),IF(IFERROR(MATCH(SUBSTITUTE(A225,".md",""),'Sorcerer Spells'!A:A,0),0)&gt;0,"#Sorcerer",""),IF(IFERROR(MATCH(SUBSTITUTE(A225,".md",""),'Warlock Spells'!A:A,0),0)&gt;0,"#Warlock",""),IF(IFERROR(MATCH(SUBSTITUTE(A225,".md",""),'Wizard Spells'!A:A,0),0)&gt;0,"#Wizard",""))</f>
        <v>#Bard #Sorcerer #Wizard</v>
      </c>
    </row>
    <row r="226" spans="1:7" ht="120" x14ac:dyDescent="0.25">
      <c r="A226" t="s">
        <v>312</v>
      </c>
      <c r="B226" s="1" t="str">
        <f t="shared" si="12"/>
        <v>level 8 - #conjuration Casting Time: Action Range: 60 feet Components: V, S Duration: #Concentration, up to 10 minutes 
You banish a creature that you can see within range into a labyrinthine demiplane. The target remains there for the duration or until it escapes the maze. 
The target can take a Study action to try to escape. When it does so, it makes a DC 20 Intelligence (Investigation) check. If it succeeds, it escapes, and the spell ends. 
When the spell ends, the target reappears in the space it left or, if that space is occupied, in the nearest unoccupied space._x000D_
#Wizard</v>
      </c>
      <c r="C226" t="str">
        <f t="shared" si="13"/>
        <v>level 8</v>
      </c>
      <c r="D226" s="1" t="s">
        <v>313</v>
      </c>
      <c r="E226" t="str">
        <f t="shared" si="14"/>
        <v>level 8</v>
      </c>
      <c r="F226" t="str">
        <f t="shared" si="15"/>
        <v>NULL</v>
      </c>
      <c r="G226" t="str">
        <f>_xlfn.TEXTJOIN(" ",TRUE,IF(IFERROR(MATCH(SUBSTITUTE(A226,".md",""),'Bard Spells'!A:A,0),0)&gt;0,"#Bard",""),IF(IFERROR(MATCH(SUBSTITUTE(A226,".md",""),'Cleric Spells'!A:A,0),0)&gt;0,"#Cleric",""),IF(IFERROR(MATCH(SUBSTITUTE(A226,".md",""),'Druid Spells'!A:A,0),0)&gt;0,"#Druid",""),IF(IFERROR(MATCH(SUBSTITUTE(A226,".md",""),'Paladin Spells'!A:A,0),0)&gt;0,"#Paladin",""),IF(IFERROR(MATCH(SUBSTITUTE(A226,".md",""),'Ranger Spells'!A:A,0),0)&gt;0,"#Ranger",""),IF(IFERROR(MATCH(SUBSTITUTE(A226,".md",""),'Sorcerer Spells'!A:A,0),0)&gt;0,"#Sorcerer",""),IF(IFERROR(MATCH(SUBSTITUTE(A226,".md",""),'Warlock Spells'!A:A,0),0)&gt;0,"#Warlock",""),IF(IFERROR(MATCH(SUBSTITUTE(A226,".md",""),'Wizard Spells'!A:A,0),0)&gt;0,"#Wizard",""))</f>
        <v>#Wizard</v>
      </c>
    </row>
    <row r="227" spans="1:7" ht="180" x14ac:dyDescent="0.25">
      <c r="A227" t="s">
        <v>314</v>
      </c>
      <c r="B227" s="1" t="str">
        <f t="shared" si="12"/>
        <v>level 3 - #transmutation ( #ritual ) Casting Time: Action or #Ritual Range: Touch Components: V, S Duration: 8 hours 
You step into a stone object or surface large enough to fully contain your body, merging yourself and your equipment with the stone for the duration. You must touch the stone to do so.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5 feet of movement to leave the stone where you entered it, which ends the spell. You otherwise can't move. 
Minor physical damage to the stone doesn't harm you, but its partial destruction or a change in its shape (to the extent that you no longer fit within it) expels you and deals 6d6 Force damage to you. The stone's complete destruction (or transmutation into a different substance) expels you and deals 50 Force damage to you. If expelled, you move into an unoccupied space closest to where you first entered and have the Prone condition._x000D_
#Cleric #Druid #Ranger</v>
      </c>
      <c r="C227" t="str">
        <f t="shared" si="13"/>
        <v>level 3</v>
      </c>
      <c r="D227" s="1" t="s">
        <v>653</v>
      </c>
      <c r="E227" t="str">
        <f t="shared" si="14"/>
        <v>level 3</v>
      </c>
      <c r="F227" t="str">
        <f t="shared" si="15"/>
        <v>NULL</v>
      </c>
      <c r="G227" t="str">
        <f>_xlfn.TEXTJOIN(" ",TRUE,IF(IFERROR(MATCH(SUBSTITUTE(A227,".md",""),'Bard Spells'!A:A,0),0)&gt;0,"#Bard",""),IF(IFERROR(MATCH(SUBSTITUTE(A227,".md",""),'Cleric Spells'!A:A,0),0)&gt;0,"#Cleric",""),IF(IFERROR(MATCH(SUBSTITUTE(A227,".md",""),'Druid Spells'!A:A,0),0)&gt;0,"#Druid",""),IF(IFERROR(MATCH(SUBSTITUTE(A227,".md",""),'Paladin Spells'!A:A,0),0)&gt;0,"#Paladin",""),IF(IFERROR(MATCH(SUBSTITUTE(A227,".md",""),'Ranger Spells'!A:A,0),0)&gt;0,"#Ranger",""),IF(IFERROR(MATCH(SUBSTITUTE(A227,".md",""),'Sorcerer Spells'!A:A,0),0)&gt;0,"#Sorcerer",""),IF(IFERROR(MATCH(SUBSTITUTE(A227,".md",""),'Warlock Spells'!A:A,0),0)&gt;0,"#Warlock",""),IF(IFERROR(MATCH(SUBSTITUTE(A227,".md",""),'Wizard Spells'!A:A,0),0)&gt;0,"#Wizard",""))</f>
        <v>#Cleric #Druid #Ranger</v>
      </c>
    </row>
    <row r="228" spans="1:7" ht="135" x14ac:dyDescent="0.25">
      <c r="A228" t="s">
        <v>315</v>
      </c>
      <c r="B228" s="1" t="str">
        <f t="shared" si="12"/>
        <v>level 2 - #evocation Casting Time: Action Range: 90 feet Components: V, S, M (powdered rhubarb leaf) Duration: Instantaneous 
A shimmering green arrow streaks toward a target within range and bursts in a spray of acid. Make a ranged spell attack against the target. On a hit, the target takes 4d4 Acid damage and 2d4 Acid damage at the end of its next turn. On a miss, the arrow splashes the target with acid for half as much of the initial damage only. 
Using a Higher-Level Spell Slot. The damage (both initial and later) increases by 1d4 for each spell slot level above 2_x000D_
#Wizard</v>
      </c>
      <c r="C228" t="str">
        <f t="shared" si="13"/>
        <v>level 2</v>
      </c>
      <c r="D228" s="1" t="s">
        <v>316</v>
      </c>
      <c r="E228" t="str">
        <f t="shared" si="14"/>
        <v>level 2</v>
      </c>
      <c r="F228" t="str">
        <f t="shared" si="15"/>
        <v>NULL</v>
      </c>
      <c r="G228" t="str">
        <f>_xlfn.TEXTJOIN(" ",TRUE,IF(IFERROR(MATCH(SUBSTITUTE(A228,".md",""),'Bard Spells'!A:A,0),0)&gt;0,"#Bard",""),IF(IFERROR(MATCH(SUBSTITUTE(A228,".md",""),'Cleric Spells'!A:A,0),0)&gt;0,"#Cleric",""),IF(IFERROR(MATCH(SUBSTITUTE(A228,".md",""),'Druid Spells'!A:A,0),0)&gt;0,"#Druid",""),IF(IFERROR(MATCH(SUBSTITUTE(A228,".md",""),'Paladin Spells'!A:A,0),0)&gt;0,"#Paladin",""),IF(IFERROR(MATCH(SUBSTITUTE(A228,".md",""),'Ranger Spells'!A:A,0),0)&gt;0,"#Ranger",""),IF(IFERROR(MATCH(SUBSTITUTE(A228,".md",""),'Sorcerer Spells'!A:A,0),0)&gt;0,"#Sorcerer",""),IF(IFERROR(MATCH(SUBSTITUTE(A228,".md",""),'Warlock Spells'!A:A,0),0)&gt;0,"#Warlock",""),IF(IFERROR(MATCH(SUBSTITUTE(A228,".md",""),'Wizard Spells'!A:A,0),0)&gt;0,"#Wizard",""))</f>
        <v>#Wizard</v>
      </c>
    </row>
    <row r="229" spans="1:7" ht="120" x14ac:dyDescent="0.25">
      <c r="A229" t="s">
        <v>317</v>
      </c>
      <c r="B229" s="1" t="str">
        <f t="shared" si="12"/>
        <v>level 0 - #transmutation Casting Time: 1 minute Range: Touch Components: V, S, M (two lodestones) Duration: Instantaneous 
This spell repairs a single break or tear in an object you touch, such as a broken chain link, two halves of a broken key, a torn cloak, or a leaking wineskin. As long as the break or tear is no larger than 1 foot in any dimension, you mend it, leaving no trace of the former damage. 
This spell can physically repair a magic item, but it can't restore magic to such an object._x000D_
#Bard #Cleric #Druid #Sorcerer #Wizard</v>
      </c>
      <c r="C229" t="str">
        <f t="shared" si="13"/>
        <v>level 0</v>
      </c>
      <c r="D229" s="1" t="s">
        <v>318</v>
      </c>
      <c r="E229" t="str">
        <f t="shared" si="14"/>
        <v>level 0</v>
      </c>
      <c r="F229" t="str">
        <f t="shared" si="15"/>
        <v>NULL</v>
      </c>
      <c r="G229" t="str">
        <f>_xlfn.TEXTJOIN(" ",TRUE,IF(IFERROR(MATCH(SUBSTITUTE(A229,".md",""),'Bard Spells'!A:A,0),0)&gt;0,"#Bard",""),IF(IFERROR(MATCH(SUBSTITUTE(A229,".md",""),'Cleric Spells'!A:A,0),0)&gt;0,"#Cleric",""),IF(IFERROR(MATCH(SUBSTITUTE(A229,".md",""),'Druid Spells'!A:A,0),0)&gt;0,"#Druid",""),IF(IFERROR(MATCH(SUBSTITUTE(A229,".md",""),'Paladin Spells'!A:A,0),0)&gt;0,"#Paladin",""),IF(IFERROR(MATCH(SUBSTITUTE(A229,".md",""),'Ranger Spells'!A:A,0),0)&gt;0,"#Ranger",""),IF(IFERROR(MATCH(SUBSTITUTE(A229,".md",""),'Sorcerer Spells'!A:A,0),0)&gt;0,"#Sorcerer",""),IF(IFERROR(MATCH(SUBSTITUTE(A229,".md",""),'Warlock Spells'!A:A,0),0)&gt;0,"#Warlock",""),IF(IFERROR(MATCH(SUBSTITUTE(A229,".md",""),'Wizard Spells'!A:A,0),0)&gt;0,"#Wizard",""))</f>
        <v>#Bard #Cleric #Druid #Sorcerer #Wizard</v>
      </c>
    </row>
    <row r="230" spans="1:7" ht="105" x14ac:dyDescent="0.25">
      <c r="A230" t="s">
        <v>319</v>
      </c>
      <c r="B230" s="1" t="str">
        <f t="shared" si="12"/>
        <v>level 0 - #transmutation Casting Time: Action Range: 120 feet Components: S, M (a copper wire) Duration: 1 round 
You point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metal, or wood; or a thin sheet of lead blocks the spell._x000D_
#Bard #Druid #Sorcerer #Wizard</v>
      </c>
      <c r="C230" t="str">
        <f t="shared" si="13"/>
        <v>level 0</v>
      </c>
      <c r="D230" s="1" t="s">
        <v>320</v>
      </c>
      <c r="E230" t="str">
        <f t="shared" si="14"/>
        <v>level 0</v>
      </c>
      <c r="F230" t="str">
        <f t="shared" si="15"/>
        <v>NULL</v>
      </c>
      <c r="G230" t="str">
        <f>_xlfn.TEXTJOIN(" ",TRUE,IF(IFERROR(MATCH(SUBSTITUTE(A230,".md",""),'Bard Spells'!A:A,0),0)&gt;0,"#Bard",""),IF(IFERROR(MATCH(SUBSTITUTE(A230,".md",""),'Cleric Spells'!A:A,0),0)&gt;0,"#Cleric",""),IF(IFERROR(MATCH(SUBSTITUTE(A230,".md",""),'Druid Spells'!A:A,0),0)&gt;0,"#Druid",""),IF(IFERROR(MATCH(SUBSTITUTE(A230,".md",""),'Paladin Spells'!A:A,0),0)&gt;0,"#Paladin",""),IF(IFERROR(MATCH(SUBSTITUTE(A230,".md",""),'Ranger Spells'!A:A,0),0)&gt;0,"#Ranger",""),IF(IFERROR(MATCH(SUBSTITUTE(A230,".md",""),'Sorcerer Spells'!A:A,0),0)&gt;0,"#Sorcerer",""),IF(IFERROR(MATCH(SUBSTITUTE(A230,".md",""),'Warlock Spells'!A:A,0),0)&gt;0,"#Warlock",""),IF(IFERROR(MATCH(SUBSTITUTE(A230,".md",""),'Wizard Spells'!A:A,0),0)&gt;0,"#Wizard",""))</f>
        <v>#Bard #Druid #Sorcerer #Wizard</v>
      </c>
    </row>
    <row r="231" spans="1:7" ht="120" x14ac:dyDescent="0.25">
      <c r="A231" t="s">
        <v>321</v>
      </c>
      <c r="B231" s="1" t="str">
        <f t="shared" si="12"/>
        <v>level 9 - #evocation Casting Time: Action Range: 1 mile Components: V, S Duration: Instantaneous 
Blazing orbs of fire plummet to the ground at four different points you can see within range. Each creature in a 40-foot-radius Sphere centered on each of those points makes a Dexterity saving throw. A creature takes 20d6 Fire damage and 20d6 Bludgeoning damage on a failed save or half as much damage on a successful one. A creature in the area of more than one fiery Sphere is affected only once. 
A nonmagical object that isn't being worn or carried also takes the damage if it's in the spell's area, and the object starts burning if it's flammable._x000D_
#Sorcerer #Wizard</v>
      </c>
      <c r="C231" t="str">
        <f t="shared" si="13"/>
        <v>level 9</v>
      </c>
      <c r="D231" s="1" t="s">
        <v>322</v>
      </c>
      <c r="E231" t="str">
        <f t="shared" si="14"/>
        <v>level 9</v>
      </c>
      <c r="F231" t="str">
        <f t="shared" si="15"/>
        <v>NULL</v>
      </c>
      <c r="G231" t="str">
        <f>_xlfn.TEXTJOIN(" ",TRUE,IF(IFERROR(MATCH(SUBSTITUTE(A231,".md",""),'Bard Spells'!A:A,0),0)&gt;0,"#Bard",""),IF(IFERROR(MATCH(SUBSTITUTE(A231,".md",""),'Cleric Spells'!A:A,0),0)&gt;0,"#Cleric",""),IF(IFERROR(MATCH(SUBSTITUTE(A231,".md",""),'Druid Spells'!A:A,0),0)&gt;0,"#Druid",""),IF(IFERROR(MATCH(SUBSTITUTE(A231,".md",""),'Paladin Spells'!A:A,0),0)&gt;0,"#Paladin",""),IF(IFERROR(MATCH(SUBSTITUTE(A231,".md",""),'Ranger Spells'!A:A,0),0)&gt;0,"#Ranger",""),IF(IFERROR(MATCH(SUBSTITUTE(A231,".md",""),'Sorcerer Spells'!A:A,0),0)&gt;0,"#Sorcerer",""),IF(IFERROR(MATCH(SUBSTITUTE(A231,".md",""),'Warlock Spells'!A:A,0),0)&gt;0,"#Warlock",""),IF(IFERROR(MATCH(SUBSTITUTE(A231,".md",""),'Wizard Spells'!A:A,0),0)&gt;0,"#Wizard",""))</f>
        <v>#Sorcerer #Wizard</v>
      </c>
    </row>
    <row r="232" spans="1:7" ht="105" x14ac:dyDescent="0.25">
      <c r="A232" t="s">
        <v>323</v>
      </c>
      <c r="B232" s="1" t="str">
        <f t="shared" si="12"/>
        <v>Level 8 - #abjuration Casting Time: Action Range: Touch Components: V, S Duration: 24 hours 
Until the spell ends, one willing creature you touch has Immunity to Psychic damage and the Charmed condition. The target is also unaffected by anything that would sense its emotions or alignment, read its thoughts, or magically detect its location, and no spellâ€”not even Wishâ€”can gather information about the target, observe it remotely, or control its mind._x000D_
#Bard #Wizard</v>
      </c>
      <c r="C232" t="str">
        <f t="shared" si="13"/>
        <v>Level 8</v>
      </c>
      <c r="D232" s="1" t="s">
        <v>324</v>
      </c>
      <c r="E232" t="str">
        <f t="shared" si="14"/>
        <v>Level 8</v>
      </c>
      <c r="F232" t="str">
        <f t="shared" si="15"/>
        <v>NULL</v>
      </c>
      <c r="G232" t="str">
        <f>_xlfn.TEXTJOIN(" ",TRUE,IF(IFERROR(MATCH(SUBSTITUTE(A232,".md",""),'Bard Spells'!A:A,0),0)&gt;0,"#Bard",""),IF(IFERROR(MATCH(SUBSTITUTE(A232,".md",""),'Cleric Spells'!A:A,0),0)&gt;0,"#Cleric",""),IF(IFERROR(MATCH(SUBSTITUTE(A232,".md",""),'Druid Spells'!A:A,0),0)&gt;0,"#Druid",""),IF(IFERROR(MATCH(SUBSTITUTE(A232,".md",""),'Paladin Spells'!A:A,0),0)&gt;0,"#Paladin",""),IF(IFERROR(MATCH(SUBSTITUTE(A232,".md",""),'Ranger Spells'!A:A,0),0)&gt;0,"#Ranger",""),IF(IFERROR(MATCH(SUBSTITUTE(A232,".md",""),'Sorcerer Spells'!A:A,0),0)&gt;0,"#Sorcerer",""),IF(IFERROR(MATCH(SUBSTITUTE(A232,".md",""),'Warlock Spells'!A:A,0),0)&gt;0,"#Warlock",""),IF(IFERROR(MATCH(SUBSTITUTE(A232,".md",""),'Wizard Spells'!A:A,0),0)&gt;0,"#Wizard",""))</f>
        <v>#Bard #Wizard</v>
      </c>
    </row>
    <row r="233" spans="1:7" ht="135" x14ac:dyDescent="0.25">
      <c r="A233" t="s">
        <v>325</v>
      </c>
      <c r="B233" s="1" t="str">
        <f t="shared" si="12"/>
        <v>level 0 - #enchantment Casting Time: Action Range: 60 feet Components: V Duration: 1 round 
You try to temporarily sliver the mind of one creature you can see within range. The target must succeed on an Intelligence saving throw or take 1d6 Psychic damage and subtract 1d4 from the next saving throw it makes before the end of your next turn. 
Cantrip Upgrade. The damage increases by 1d6 when you reach levels 5 (2d6), 11 (3d6), and 17 (4d6)_x000D_
#Sorcerer #Warlock #Wizard</v>
      </c>
      <c r="C233" t="str">
        <f t="shared" si="13"/>
        <v>level 0</v>
      </c>
      <c r="D233" s="1" t="s">
        <v>326</v>
      </c>
      <c r="E233" t="str">
        <f t="shared" si="14"/>
        <v>level 0</v>
      </c>
      <c r="F233" t="str">
        <f t="shared" si="15"/>
        <v>NULL</v>
      </c>
      <c r="G233" t="str">
        <f>_xlfn.TEXTJOIN(" ",TRUE,IF(IFERROR(MATCH(SUBSTITUTE(A233,".md",""),'Bard Spells'!A:A,0),0)&gt;0,"#Bard",""),IF(IFERROR(MATCH(SUBSTITUTE(A233,".md",""),'Cleric Spells'!A:A,0),0)&gt;0,"#Cleric",""),IF(IFERROR(MATCH(SUBSTITUTE(A233,".md",""),'Druid Spells'!A:A,0),0)&gt;0,"#Druid",""),IF(IFERROR(MATCH(SUBSTITUTE(A233,".md",""),'Paladin Spells'!A:A,0),0)&gt;0,"#Paladin",""),IF(IFERROR(MATCH(SUBSTITUTE(A233,".md",""),'Ranger Spells'!A:A,0),0)&gt;0,"#Ranger",""),IF(IFERROR(MATCH(SUBSTITUTE(A233,".md",""),'Sorcerer Spells'!A:A,0),0)&gt;0,"#Sorcerer",""),IF(IFERROR(MATCH(SUBSTITUTE(A233,".md",""),'Warlock Spells'!A:A,0),0)&gt;0,"#Warlock",""),IF(IFERROR(MATCH(SUBSTITUTE(A233,".md",""),'Wizard Spells'!A:A,0),0)&gt;0,"#Wizard",""))</f>
        <v>#Sorcerer #Warlock #Wizard</v>
      </c>
    </row>
    <row r="234" spans="1:7" ht="150" x14ac:dyDescent="0.25">
      <c r="A234" t="s">
        <v>327</v>
      </c>
      <c r="B234" s="1" t="str">
        <f t="shared" si="12"/>
        <v>level 2 - #divination Casting Time: Action Range: 120 feet Components: S Duration: #Concentration, up to 1 hour 
You drive a spike of psionic energy into the mind of one creature you can see within range. The target makes a Wisdom saving throw, taking 3d8 Psychic damage on a failed save or half as much damage on a successful one. On a failed save, you also always know the target's location until the spell ends, but only while the two of you are on the same plane of existence. While you have this knowledge, the target can't become hidden from you, and if it has the Invisible condition, it gains no benefit from that condition against you. 
Using a Higher-Level Spell Slot. The damage increases by 1d8 for each spell slot level above 2_x000D_
#Sorcerer #Warlock #Wizard</v>
      </c>
      <c r="C234" t="str">
        <f t="shared" si="13"/>
        <v>level 2</v>
      </c>
      <c r="D234" s="1" t="s">
        <v>694</v>
      </c>
      <c r="E234" t="str">
        <f t="shared" si="14"/>
        <v>level 2</v>
      </c>
      <c r="F234" t="str">
        <f t="shared" si="15"/>
        <v>NULL</v>
      </c>
      <c r="G234" t="str">
        <f>_xlfn.TEXTJOIN(" ",TRUE,IF(IFERROR(MATCH(SUBSTITUTE(A234,".md",""),'Bard Spells'!A:A,0),0)&gt;0,"#Bard",""),IF(IFERROR(MATCH(SUBSTITUTE(A234,".md",""),'Cleric Spells'!A:A,0),0)&gt;0,"#Cleric",""),IF(IFERROR(MATCH(SUBSTITUTE(A234,".md",""),'Druid Spells'!A:A,0),0)&gt;0,"#Druid",""),IF(IFERROR(MATCH(SUBSTITUTE(A234,".md",""),'Paladin Spells'!A:A,0),0)&gt;0,"#Paladin",""),IF(IFERROR(MATCH(SUBSTITUTE(A234,".md",""),'Ranger Spells'!A:A,0),0)&gt;0,"#Ranger",""),IF(IFERROR(MATCH(SUBSTITUTE(A234,".md",""),'Sorcerer Spells'!A:A,0),0)&gt;0,"#Sorcerer",""),IF(IFERROR(MATCH(SUBSTITUTE(A234,".md",""),'Warlock Spells'!A:A,0),0)&gt;0,"#Warlock",""),IF(IFERROR(MATCH(SUBSTITUTE(A234,".md",""),'Wizard Spells'!A:A,0),0)&gt;0,"#Wizard",""))</f>
        <v>#Sorcerer #Warlock #Wizard</v>
      </c>
    </row>
    <row r="235" spans="1:7" ht="180" x14ac:dyDescent="0.25">
      <c r="A235" t="s">
        <v>328</v>
      </c>
      <c r="B235" s="1" t="str">
        <f t="shared" si="12"/>
        <v>level 0 - #illusion Casting Time: Action Range: 30 feet Components: S, M (a bit of fleece) Duration: 1 minute 
You create a sound or an image of an object within range that lasts for the duration. See the descriptions below for the effects of each. The illusion ends if you cast this spell again. If a creature takes a Study action to examine the sound or image, the creature can determine that it is an illusion with a successful Intelligence (Investigation) check against your spell save DC. If a creature discerns the illusion for what it is, the illusion becomes faint to the creature. 
**Sound.**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**Image.** If you create an image of an objectâ€”such as a chair, muddy footprints, or a small chestâ€”it must be no larger than a 5- foot Cube. The image can't create sound, light, smell, or any other sensory effect. Physical interaction with the image reveals it to be an illusion, since things can pass through it._x000D_
#Bard #Sorcerer #Warlock #Wizard</v>
      </c>
      <c r="C235" t="str">
        <f t="shared" si="13"/>
        <v>level 0</v>
      </c>
      <c r="D235" s="1" t="s">
        <v>329</v>
      </c>
      <c r="E235" t="str">
        <f t="shared" si="14"/>
        <v>level 0</v>
      </c>
      <c r="F235" t="str">
        <f t="shared" si="15"/>
        <v>NULL</v>
      </c>
      <c r="G235" t="str">
        <f>_xlfn.TEXTJOIN(" ",TRUE,IF(IFERROR(MATCH(SUBSTITUTE(A235,".md",""),'Bard Spells'!A:A,0),0)&gt;0,"#Bard",""),IF(IFERROR(MATCH(SUBSTITUTE(A235,".md",""),'Cleric Spells'!A:A,0),0)&gt;0,"#Cleric",""),IF(IFERROR(MATCH(SUBSTITUTE(A235,".md",""),'Druid Spells'!A:A,0),0)&gt;0,"#Druid",""),IF(IFERROR(MATCH(SUBSTITUTE(A235,".md",""),'Paladin Spells'!A:A,0),0)&gt;0,"#Paladin",""),IF(IFERROR(MATCH(SUBSTITUTE(A235,".md",""),'Ranger Spells'!A:A,0),0)&gt;0,"#Ranger",""),IF(IFERROR(MATCH(SUBSTITUTE(A235,".md",""),'Sorcerer Spells'!A:A,0),0)&gt;0,"#Sorcerer",""),IF(IFERROR(MATCH(SUBSTITUTE(A235,".md",""),'Warlock Spells'!A:A,0),0)&gt;0,"#Warlock",""),IF(IFERROR(MATCH(SUBSTITUTE(A235,".md",""),'Wizard Spells'!A:A,0),0)&gt;0,"#Wizard",""))</f>
        <v>#Bard #Sorcerer #Warlock #Wizard</v>
      </c>
    </row>
    <row r="236" spans="1:7" ht="180" x14ac:dyDescent="0.25">
      <c r="A236" t="s">
        <v>330</v>
      </c>
      <c r="B236" s="1" t="str">
        <f t="shared" si="12"/>
        <v>level 7 - #illusion Casting Time: 10 minutes Range: Sight Components: V, S Duration: 10 days 
You make terrain in an area up to 1 mile square look, sound, smell, and even feel like some other sort of terrain. Open fields or a road could be made to resemble a swamp, hill, crevasse, or some other rough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illusion._x000D_
#Bard #Druid #Wizard</v>
      </c>
      <c r="C236" t="str">
        <f t="shared" si="13"/>
        <v>level 7</v>
      </c>
      <c r="D236" s="1" t="s">
        <v>331</v>
      </c>
      <c r="E236" t="str">
        <f t="shared" si="14"/>
        <v>level 7</v>
      </c>
      <c r="F236" t="str">
        <f t="shared" si="15"/>
        <v>NULL</v>
      </c>
      <c r="G236" t="str">
        <f>_xlfn.TEXTJOIN(" ",TRUE,IF(IFERROR(MATCH(SUBSTITUTE(A236,".md",""),'Bard Spells'!A:A,0),0)&gt;0,"#Bard",""),IF(IFERROR(MATCH(SUBSTITUTE(A236,".md",""),'Cleric Spells'!A:A,0),0)&gt;0,"#Cleric",""),IF(IFERROR(MATCH(SUBSTITUTE(A236,".md",""),'Druid Spells'!A:A,0),0)&gt;0,"#Druid",""),IF(IFERROR(MATCH(SUBSTITUTE(A236,".md",""),'Paladin Spells'!A:A,0),0)&gt;0,"#Paladin",""),IF(IFERROR(MATCH(SUBSTITUTE(A236,".md",""),'Ranger Spells'!A:A,0),0)&gt;0,"#Ranger",""),IF(IFERROR(MATCH(SUBSTITUTE(A236,".md",""),'Sorcerer Spells'!A:A,0),0)&gt;0,"#Sorcerer",""),IF(IFERROR(MATCH(SUBSTITUTE(A236,".md",""),'Warlock Spells'!A:A,0),0)&gt;0,"#Warlock",""),IF(IFERROR(MATCH(SUBSTITUTE(A236,".md",""),'Wizard Spells'!A:A,0),0)&gt;0,"#Wizard",""))</f>
        <v>#Bard #Druid #Wizard</v>
      </c>
    </row>
    <row r="237" spans="1:7" ht="135" x14ac:dyDescent="0.25">
      <c r="A237" t="s">
        <v>332</v>
      </c>
      <c r="B237" s="1" t="str">
        <f t="shared" si="12"/>
        <v>level 2 - #illusion Casting Time: Action Range: Self Components: V, S Duration: 1 minute 
Three illusory duplicates of yourself appear in your space. Until the spell ends, the duplicates move with you and mimic your actions, shifting position so it's impossible to track which image is real. 
Each time a creature hits you with an attack roll during the spell's duration, roll a d6 for each of your remaining duplicates. If any of the d6s rolls a 3 or higher, one of the duplicates is hit instead of you, and the duplicate is destroyed. The duplicates otherwise ignore all other damage and effects. The spell ends when all three duplicates are destroyed. 
A creature is unaffected by this spell if it has the Blinded condition, Blindsight, or Truesight._x000D_
#Bard #Sorcerer #Warlock #Wizard</v>
      </c>
      <c r="C237" t="str">
        <f t="shared" si="13"/>
        <v>level 2</v>
      </c>
      <c r="D237" s="1" t="s">
        <v>333</v>
      </c>
      <c r="E237" t="str">
        <f t="shared" si="14"/>
        <v>level 2</v>
      </c>
      <c r="F237" t="str">
        <f t="shared" si="15"/>
        <v>NULL</v>
      </c>
      <c r="G237" t="str">
        <f>_xlfn.TEXTJOIN(" ",TRUE,IF(IFERROR(MATCH(SUBSTITUTE(A237,".md",""),'Bard Spells'!A:A,0),0)&gt;0,"#Bard",""),IF(IFERROR(MATCH(SUBSTITUTE(A237,".md",""),'Cleric Spells'!A:A,0),0)&gt;0,"#Cleric",""),IF(IFERROR(MATCH(SUBSTITUTE(A237,".md",""),'Druid Spells'!A:A,0),0)&gt;0,"#Druid",""),IF(IFERROR(MATCH(SUBSTITUTE(A237,".md",""),'Paladin Spells'!A:A,0),0)&gt;0,"#Paladin",""),IF(IFERROR(MATCH(SUBSTITUTE(A237,".md",""),'Ranger Spells'!A:A,0),0)&gt;0,"#Ranger",""),IF(IFERROR(MATCH(SUBSTITUTE(A237,".md",""),'Sorcerer Spells'!A:A,0),0)&gt;0,"#Sorcerer",""),IF(IFERROR(MATCH(SUBSTITUTE(A237,".md",""),'Warlock Spells'!A:A,0),0)&gt;0,"#Warlock",""),IF(IFERROR(MATCH(SUBSTITUTE(A237,".md",""),'Wizard Spells'!A:A,0),0)&gt;0,"#Wizard",""))</f>
        <v>#Bard #Sorcerer #Warlock #Wizard</v>
      </c>
    </row>
    <row r="238" spans="1:7" ht="135" x14ac:dyDescent="0.25">
      <c r="A238" t="s">
        <v>334</v>
      </c>
      <c r="B238" s="1" t="str">
        <f t="shared" si="12"/>
        <v>level 5 - #illusion Casting Time: Action Range: Self Components: S Duration: #Concentration, up to 1 hour 
You gain the Invisible condition at the same time that an illusory double of you appears where you are standing. The double lasts for the duration, but the invisibility ends immediately after you make an attack roll, deal damage, or cast a spell. 
As a Magic action, you can move the illusory double up to twice your Speed and make it gesture, speak, and behave in whatever way you choose. It is intangible and invulnerable. 
You can see through its eyes and hear through its ears as if you were located where it is._x000D_
#Bard #Warlock #Wizard</v>
      </c>
      <c r="C238" t="str">
        <f t="shared" si="13"/>
        <v>level 5</v>
      </c>
      <c r="D238" s="1" t="s">
        <v>695</v>
      </c>
      <c r="E238" t="str">
        <f t="shared" si="14"/>
        <v>level 5</v>
      </c>
      <c r="F238" t="str">
        <f t="shared" si="15"/>
        <v>NULL</v>
      </c>
      <c r="G238" t="str">
        <f>_xlfn.TEXTJOIN(" ",TRUE,IF(IFERROR(MATCH(SUBSTITUTE(A238,".md",""),'Bard Spells'!A:A,0),0)&gt;0,"#Bard",""),IF(IFERROR(MATCH(SUBSTITUTE(A238,".md",""),'Cleric Spells'!A:A,0),0)&gt;0,"#Cleric",""),IF(IFERROR(MATCH(SUBSTITUTE(A238,".md",""),'Druid Spells'!A:A,0),0)&gt;0,"#Druid",""),IF(IFERROR(MATCH(SUBSTITUTE(A238,".md",""),'Paladin Spells'!A:A,0),0)&gt;0,"#Paladin",""),IF(IFERROR(MATCH(SUBSTITUTE(A238,".md",""),'Ranger Spells'!A:A,0),0)&gt;0,"#Ranger",""),IF(IFERROR(MATCH(SUBSTITUTE(A238,".md",""),'Sorcerer Spells'!A:A,0),0)&gt;0,"#Sorcerer",""),IF(IFERROR(MATCH(SUBSTITUTE(A238,".md",""),'Warlock Spells'!A:A,0),0)&gt;0,"#Warlock",""),IF(IFERROR(MATCH(SUBSTITUTE(A238,".md",""),'Wizard Spells'!A:A,0),0)&gt;0,"#Wizard",""))</f>
        <v>#Bard #Warlock #Wizard</v>
      </c>
    </row>
    <row r="239" spans="1:7" ht="90" x14ac:dyDescent="0.25">
      <c r="A239" t="s">
        <v>335</v>
      </c>
      <c r="B239" s="1" t="str">
        <f t="shared" si="12"/>
        <v>Level 2 - #conjuration Casting Time: #BonusAction Range: Self Components: V Duration: Instantaneous 
Briefly surrounded by silvery mist, you teleport up to 30 feet to an unoccupied space you can see._x000D_
#Sorcerer #Warlock #Wizard</v>
      </c>
      <c r="C239" t="str">
        <f t="shared" si="13"/>
        <v>Level 2</v>
      </c>
      <c r="D239" s="1" t="s">
        <v>1175</v>
      </c>
      <c r="E239" t="str">
        <f t="shared" si="14"/>
        <v>Level 2</v>
      </c>
      <c r="F239" t="str">
        <f t="shared" si="15"/>
        <v>NULL</v>
      </c>
      <c r="G239" t="str">
        <f>_xlfn.TEXTJOIN(" ",TRUE,IF(IFERROR(MATCH(SUBSTITUTE(A239,".md",""),'Bard Spells'!A:A,0),0)&gt;0,"#Bard",""),IF(IFERROR(MATCH(SUBSTITUTE(A239,".md",""),'Cleric Spells'!A:A,0),0)&gt;0,"#Cleric",""),IF(IFERROR(MATCH(SUBSTITUTE(A239,".md",""),'Druid Spells'!A:A,0),0)&gt;0,"#Druid",""),IF(IFERROR(MATCH(SUBSTITUTE(A239,".md",""),'Paladin Spells'!A:A,0),0)&gt;0,"#Paladin",""),IF(IFERROR(MATCH(SUBSTITUTE(A239,".md",""),'Ranger Spells'!A:A,0),0)&gt;0,"#Ranger",""),IF(IFERROR(MATCH(SUBSTITUTE(A239,".md",""),'Sorcerer Spells'!A:A,0),0)&gt;0,"#Sorcerer",""),IF(IFERROR(MATCH(SUBSTITUTE(A239,".md",""),'Warlock Spells'!A:A,0),0)&gt;0,"#Warlock",""),IF(IFERROR(MATCH(SUBSTITUTE(A239,".md",""),'Wizard Spells'!A:A,0),0)&gt;0,"#Wizard",""))</f>
        <v>#Sorcerer #Warlock #Wizard</v>
      </c>
    </row>
    <row r="240" spans="1:7" ht="270" x14ac:dyDescent="0.25">
      <c r="A240" t="s">
        <v>336</v>
      </c>
      <c r="B240" s="1" t="str">
        <f t="shared" si="12"/>
        <v>level 5 - #enchantment Casting Time: Action Range: 30 feet Components: V, S Duration: #Concentration, up to 1 minute 
You attempt to reshape another creature's memories. One creature that you can see within range makes a Wisdom saving throw. If you are fighting the creature, it has Advantage on the save. On a failed save, the target has the Charmed condition for the duration. While Charmed in this way, the target also has the Incapacitated condition and is unaware of its surroundings, though it can hear you. If it takes any damage or is targeted by another spell, this spell ends, and no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change its memory of the event's details,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finish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a false memory of how much the creature enjoyed swimming in acid, is dismissed as a bad dream. The DM might deem a modified memory too nonsensical to affect a creature. A Remove Curse or Greater Restoration spell cast on the target restores the creature's true memory. 
Using a Higher-Level Spell Slot. You can alter the target's memories of an event that took place up to 7 days ago (level 6 spell slot), 30 days ago (level 7 spell slot), 365 days ago (level 8 spell slot), or any time in the creature's past (level 9 spell slot)._x000D_
#Bard #Wizard</v>
      </c>
      <c r="C240" t="str">
        <f t="shared" si="13"/>
        <v>level 5</v>
      </c>
      <c r="D240" s="1" t="s">
        <v>337</v>
      </c>
      <c r="E240" t="str">
        <f t="shared" si="14"/>
        <v>level 5</v>
      </c>
      <c r="F240" t="str">
        <f t="shared" si="15"/>
        <v>NULL</v>
      </c>
      <c r="G240" t="str">
        <f>_xlfn.TEXTJOIN(" ",TRUE,IF(IFERROR(MATCH(SUBSTITUTE(A240,".md",""),'Bard Spells'!A:A,0),0)&gt;0,"#Bard",""),IF(IFERROR(MATCH(SUBSTITUTE(A240,".md",""),'Cleric Spells'!A:A,0),0)&gt;0,"#Cleric",""),IF(IFERROR(MATCH(SUBSTITUTE(A240,".md",""),'Druid Spells'!A:A,0),0)&gt;0,"#Druid",""),IF(IFERROR(MATCH(SUBSTITUTE(A240,".md",""),'Paladin Spells'!A:A,0),0)&gt;0,"#Paladin",""),IF(IFERROR(MATCH(SUBSTITUTE(A240,".md",""),'Ranger Spells'!A:A,0),0)&gt;0,"#Ranger",""),IF(IFERROR(MATCH(SUBSTITUTE(A240,".md",""),'Sorcerer Spells'!A:A,0),0)&gt;0,"#Sorcerer",""),IF(IFERROR(MATCH(SUBSTITUTE(A240,".md",""),'Warlock Spells'!A:A,0),0)&gt;0,"#Warlock",""),IF(IFERROR(MATCH(SUBSTITUTE(A240,".md",""),'Wizard Spells'!A:A,0),0)&gt;0,"#Wizard",""))</f>
        <v>#Bard #Wizard</v>
      </c>
    </row>
    <row r="241" spans="1:7" ht="165" x14ac:dyDescent="0.25">
      <c r="A241" t="s">
        <v>338</v>
      </c>
      <c r="B241" s="1" t="str">
        <f t="shared" si="12"/>
        <v>level 2 - #evocation Casting Time: Action Range: 120 feet Components: V, S, M (a moonseed leaf) Duration: #Concentration, up to 1 minute 
A silvery beam of pale light shines down in a 5-foot-radius, 40- foot-high Cylinder centered on a point within range. Until the spell ends, Dim Light fills the Cylinder, and you can take a Magic action on later turns to move the Cylinder up to 60 feet. When the Cylinder appears, each creature in it makes a Constitution saving throw. On a failed save, a creature takes 2d10 Radiant damage, and if the creature is shape-shifted (as a result of the Polymorph spell, for example), it reverts to its true form and can't shape-shift until it leaves the Cylinder. On a successful save, a creature takes half as much damage only. A creature also makes this save when the spell's area moves into its space and when it enters the spell's area or ends its turn there. A creature makes this save only once per turn. 
Using a Higher-Level Spell Slot. The damage increases by 1d10 for each spell slot level above 2._x000D_
#Druid</v>
      </c>
      <c r="C241" t="str">
        <f t="shared" si="13"/>
        <v>level 2</v>
      </c>
      <c r="D241" s="1" t="s">
        <v>696</v>
      </c>
      <c r="E241" t="str">
        <f t="shared" si="14"/>
        <v>level 2</v>
      </c>
      <c r="F241" t="str">
        <f t="shared" si="15"/>
        <v>NULL</v>
      </c>
      <c r="G241" t="str">
        <f>_xlfn.TEXTJOIN(" ",TRUE,IF(IFERROR(MATCH(SUBSTITUTE(A241,".md",""),'Bard Spells'!A:A,0),0)&gt;0,"#Bard",""),IF(IFERROR(MATCH(SUBSTITUTE(A241,".md",""),'Cleric Spells'!A:A,0),0)&gt;0,"#Cleric",""),IF(IFERROR(MATCH(SUBSTITUTE(A241,".md",""),'Druid Spells'!A:A,0),0)&gt;0,"#Druid",""),IF(IFERROR(MATCH(SUBSTITUTE(A241,".md",""),'Paladin Spells'!A:A,0),0)&gt;0,"#Paladin",""),IF(IFERROR(MATCH(SUBSTITUTE(A241,".md",""),'Ranger Spells'!A:A,0),0)&gt;0,"#Ranger",""),IF(IFERROR(MATCH(SUBSTITUTE(A241,".md",""),'Sorcerer Spells'!A:A,0),0)&gt;0,"#Sorcerer",""),IF(IFERROR(MATCH(SUBSTITUTE(A241,".md",""),'Warlock Spells'!A:A,0),0)&gt;0,"#Warlock",""),IF(IFERROR(MATCH(SUBSTITUTE(A241,".md",""),'Wizard Spells'!A:A,0),0)&gt;0,"#Wizard",""))</f>
        <v>#Druid</v>
      </c>
    </row>
    <row r="242" spans="1:7" ht="150" x14ac:dyDescent="0.25">
      <c r="A242" t="s">
        <v>339</v>
      </c>
      <c r="B242" s="1" t="str">
        <f t="shared" si="12"/>
        <v>level 4 - #conjuration Casting Time: Action Range: 30 feet Components: V, S, M (a silver whistle) Duration: 8 hours 
You conjure a phantom watchdog in an unoccupied space that you can see within range. The hound remains for the duration or until the two of you are more than 300 feet apart from each other. 
No one but you can see the hound, and it is intangible and invulnerable. When a Small or larger creature comes within 30 feet of it without first speaking the password that you specify when you cast this spell, the hound starts barking loudly. The hound has Truesight with a range of 30 feet. 
At the start of each of your turns, the hound attempts to bite one enemy within 5 feet of it. That enemy must succeed on a Dexterity saving throw or take 4d8 Force damage.
On your later turns, you can take a Magic action to move the hound up to 30 feet_x000D_
#Wizard</v>
      </c>
      <c r="C242" t="str">
        <f t="shared" si="13"/>
        <v>level 4</v>
      </c>
      <c r="D242" s="1" t="s">
        <v>340</v>
      </c>
      <c r="E242" t="str">
        <f t="shared" si="14"/>
        <v>level 4</v>
      </c>
      <c r="F242" t="str">
        <f t="shared" si="15"/>
        <v>NULL</v>
      </c>
      <c r="G242" t="str">
        <f>_xlfn.TEXTJOIN(" ",TRUE,IF(IFERROR(MATCH(SUBSTITUTE(A242,".md",""),'Bard Spells'!A:A,0),0)&gt;0,"#Bard",""),IF(IFERROR(MATCH(SUBSTITUTE(A242,".md",""),'Cleric Spells'!A:A,0),0)&gt;0,"#Cleric",""),IF(IFERROR(MATCH(SUBSTITUTE(A242,".md",""),'Druid Spells'!A:A,0),0)&gt;0,"#Druid",""),IF(IFERROR(MATCH(SUBSTITUTE(A242,".md",""),'Paladin Spells'!A:A,0),0)&gt;0,"#Paladin",""),IF(IFERROR(MATCH(SUBSTITUTE(A242,".md",""),'Ranger Spells'!A:A,0),0)&gt;0,"#Ranger",""),IF(IFERROR(MATCH(SUBSTITUTE(A242,".md",""),'Sorcerer Spells'!A:A,0),0)&gt;0,"#Sorcerer",""),IF(IFERROR(MATCH(SUBSTITUTE(A242,".md",""),'Warlock Spells'!A:A,0),0)&gt;0,"#Warlock",""),IF(IFERROR(MATCH(SUBSTITUTE(A242,".md",""),'Wizard Spells'!A:A,0),0)&gt;0,"#Wizard",""))</f>
        <v>#Wizard</v>
      </c>
    </row>
    <row r="243" spans="1:7" ht="90" x14ac:dyDescent="0.25">
      <c r="A243" t="s">
        <v>341</v>
      </c>
      <c r="B243" s="1" t="str">
        <f t="shared" si="12"/>
        <v>level 7 - #conjuration Casting Time: 1 minute Range: 300 feet Components: V, S, M (a miniature door worth 15+ GP) Duration: 24 hours 
Description not available (not OGL)_x000D_
#Bard #Wizard</v>
      </c>
      <c r="C243" t="str">
        <f t="shared" si="13"/>
        <v>level 7</v>
      </c>
      <c r="D243" s="1" t="s">
        <v>342</v>
      </c>
      <c r="E243" t="str">
        <f t="shared" si="14"/>
        <v>level 7</v>
      </c>
      <c r="F243" t="str">
        <f t="shared" si="15"/>
        <v>NULL</v>
      </c>
      <c r="G243" t="str">
        <f>_xlfn.TEXTJOIN(" ",TRUE,IF(IFERROR(MATCH(SUBSTITUTE(A243,".md",""),'Bard Spells'!A:A,0),0)&gt;0,"#Bard",""),IF(IFERROR(MATCH(SUBSTITUTE(A243,".md",""),'Cleric Spells'!A:A,0),0)&gt;0,"#Cleric",""),IF(IFERROR(MATCH(SUBSTITUTE(A243,".md",""),'Druid Spells'!A:A,0),0)&gt;0,"#Druid",""),IF(IFERROR(MATCH(SUBSTITUTE(A243,".md",""),'Paladin Spells'!A:A,0),0)&gt;0,"#Paladin",""),IF(IFERROR(MATCH(SUBSTITUTE(A243,".md",""),'Ranger Spells'!A:A,0),0)&gt;0,"#Ranger",""),IF(IFERROR(MATCH(SUBSTITUTE(A243,".md",""),'Sorcerer Spells'!A:A,0),0)&gt;0,"#Sorcerer",""),IF(IFERROR(MATCH(SUBSTITUTE(A243,".md",""),'Warlock Spells'!A:A,0),0)&gt;0,"#Warlock",""),IF(IFERROR(MATCH(SUBSTITUTE(A243,".md",""),'Wizard Spells'!A:A,0),0)&gt;0,"#Wizard",""))</f>
        <v>#Bard #Wizard</v>
      </c>
    </row>
    <row r="244" spans="1:7" ht="225" x14ac:dyDescent="0.25">
      <c r="A244" t="s">
        <v>343</v>
      </c>
      <c r="B244" s="1" t="str">
        <f t="shared" si="12"/>
        <v>level 4 - #abjuration Casting Time: 10 minutes Range: 120 feet Components: V, S, M (a thin sheet of lead) Duration: 24 hours 
You make an area within range magically secure. The area is a Cube that can be as small as 5 feet to as large as 100 feet on each side. The spell lasts for the duration. 
When you cast the spell, you decide what sort of security the spell provides, choosing any of the following properties: 
â€¢ Sound can't pass through the barrier at the edge of the warded area. 
â€¢ The barrier of the warded area appears dark and foggy, preventing vision (including Dark vision) through it. 
â€¢ Sensors created by Divination spells can't appear inside the protected area or pass through the barrier at its perimeter. 
â€¢ Creatures in the area can't be targeted by Divination spells. 
â€¢ Nothing can teleport into or out of the warded area. 
â€¢ Planar travel is blocked within the warded area. Casting this spell on the same spot every day for 365 days makes the spell last until dispelled. 
Using a Higher-Level Spell Slot. You can increase the size of the Cube by 100 feet for each spell slot level above 4_x000D_
#Wizard</v>
      </c>
      <c r="C244" t="str">
        <f t="shared" si="13"/>
        <v>level 4</v>
      </c>
      <c r="D244" s="1" t="s">
        <v>344</v>
      </c>
      <c r="E244" t="str">
        <f t="shared" si="14"/>
        <v>level 4</v>
      </c>
      <c r="F244" t="str">
        <f t="shared" si="15"/>
        <v>NULL</v>
      </c>
      <c r="G244" t="str">
        <f>_xlfn.TEXTJOIN(" ",TRUE,IF(IFERROR(MATCH(SUBSTITUTE(A244,".md",""),'Bard Spells'!A:A,0),0)&gt;0,"#Bard",""),IF(IFERROR(MATCH(SUBSTITUTE(A244,".md",""),'Cleric Spells'!A:A,0),0)&gt;0,"#Cleric",""),IF(IFERROR(MATCH(SUBSTITUTE(A244,".md",""),'Druid Spells'!A:A,0),0)&gt;0,"#Druid",""),IF(IFERROR(MATCH(SUBSTITUTE(A244,".md",""),'Paladin Spells'!A:A,0),0)&gt;0,"#Paladin",""),IF(IFERROR(MATCH(SUBSTITUTE(A244,".md",""),'Ranger Spells'!A:A,0),0)&gt;0,"#Ranger",""),IF(IFERROR(MATCH(SUBSTITUTE(A244,".md",""),'Sorcerer Spells'!A:A,0),0)&gt;0,"#Sorcerer",""),IF(IFERROR(MATCH(SUBSTITUTE(A244,".md",""),'Warlock Spells'!A:A,0),0)&gt;0,"#Warlock",""),IF(IFERROR(MATCH(SUBSTITUTE(A244,".md",""),'Wizard Spells'!A:A,0),0)&gt;0,"#Wizard",""))</f>
        <v>#Wizard</v>
      </c>
    </row>
    <row r="245" spans="1:7" ht="120" x14ac:dyDescent="0.25">
      <c r="A245" t="s">
        <v>345</v>
      </c>
      <c r="B245" s="1" t="str">
        <f t="shared" si="12"/>
        <v>level 7 - #evocation Casting Time: Action Range: 90 feet Components: V, S, M (a miniature sword worth 250+ GP) Duration: #Concentration, up to 1 minute 
You create a spectral sword that hovers within range. It lasts for the duration. 
When the sword appears, you make a melee spell attack against a target within 5 feet of the sword. On a hit, the target takes Force damage equal to 4d12 plus your spellcasting ability modifier.
On your later turns, you can take a Bonus Action to move the sword up to 30 feet to a spot you can see and repeat the attack against the same target or a different one_x000D_
#Bard #Wizard</v>
      </c>
      <c r="C245" t="str">
        <f t="shared" si="13"/>
        <v>level 7</v>
      </c>
      <c r="D245" s="1" t="s">
        <v>346</v>
      </c>
      <c r="E245" t="str">
        <f t="shared" si="14"/>
        <v>level 7</v>
      </c>
      <c r="F245" t="str">
        <f t="shared" si="15"/>
        <v>NULL</v>
      </c>
      <c r="G245" t="str">
        <f>_xlfn.TEXTJOIN(" ",TRUE,IF(IFERROR(MATCH(SUBSTITUTE(A245,".md",""),'Bard Spells'!A:A,0),0)&gt;0,"#Bard",""),IF(IFERROR(MATCH(SUBSTITUTE(A245,".md",""),'Cleric Spells'!A:A,0),0)&gt;0,"#Cleric",""),IF(IFERROR(MATCH(SUBSTITUTE(A245,".md",""),'Druid Spells'!A:A,0),0)&gt;0,"#Druid",""),IF(IFERROR(MATCH(SUBSTITUTE(A245,".md",""),'Paladin Spells'!A:A,0),0)&gt;0,"#Paladin",""),IF(IFERROR(MATCH(SUBSTITUTE(A245,".md",""),'Ranger Spells'!A:A,0),0)&gt;0,"#Ranger",""),IF(IFERROR(MATCH(SUBSTITUTE(A245,".md",""),'Sorcerer Spells'!A:A,0),0)&gt;0,"#Sorcerer",""),IF(IFERROR(MATCH(SUBSTITUTE(A245,".md",""),'Warlock Spells'!A:A,0),0)&gt;0,"#Warlock",""),IF(IFERROR(MATCH(SUBSTITUTE(A245,".md",""),'Wizard Spells'!A:A,0),0)&gt;0,"#Wizard",""))</f>
        <v>#Bard #Wizard</v>
      </c>
    </row>
    <row r="246" spans="1:7" ht="165" x14ac:dyDescent="0.25">
      <c r="A246" t="s">
        <v>347</v>
      </c>
      <c r="B246" s="1" t="str">
        <f t="shared" si="12"/>
        <v>level 6 - #transmutation Casting Time: Action Range: 120 feet Components: V, S, M (an miniature showel) Duration: #Concentration, up to 2 hours 
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For example, if you affect a 40-foot square, you can create a pillar up to 20 feet high, raise or lower the square's elevation by up to 20 feet, dig a trench up to 20 feet deep, and so on. It takes 10 minutes for these changes to complete. Because the terrain's transformation occurs slowly, creatures in the area can't usually be trapped or injured by the ground's movement. At the end of every 10 minutes you spend concentrating on the spell, you can choose a new area of terrain to affect within range.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it_x000D_
#Druid #Sorcerer #Wizard</v>
      </c>
      <c r="C246" t="str">
        <f t="shared" si="13"/>
        <v>level 6</v>
      </c>
      <c r="D246" s="1" t="s">
        <v>348</v>
      </c>
      <c r="E246" t="str">
        <f t="shared" si="14"/>
        <v>level 6</v>
      </c>
      <c r="F246" t="str">
        <f t="shared" si="15"/>
        <v>NULL</v>
      </c>
      <c r="G246" t="str">
        <f>_xlfn.TEXTJOIN(" ",TRUE,IF(IFERROR(MATCH(SUBSTITUTE(A246,".md",""),'Bard Spells'!A:A,0),0)&gt;0,"#Bard",""),IF(IFERROR(MATCH(SUBSTITUTE(A246,".md",""),'Cleric Spells'!A:A,0),0)&gt;0,"#Cleric",""),IF(IFERROR(MATCH(SUBSTITUTE(A246,".md",""),'Druid Spells'!A:A,0),0)&gt;0,"#Druid",""),IF(IFERROR(MATCH(SUBSTITUTE(A246,".md",""),'Paladin Spells'!A:A,0),0)&gt;0,"#Paladin",""),IF(IFERROR(MATCH(SUBSTITUTE(A246,".md",""),'Ranger Spells'!A:A,0),0)&gt;0,"#Ranger",""),IF(IFERROR(MATCH(SUBSTITUTE(A246,".md",""),'Sorcerer Spells'!A:A,0),0)&gt;0,"#Sorcerer",""),IF(IFERROR(MATCH(SUBSTITUTE(A246,".md",""),'Warlock Spells'!A:A,0),0)&gt;0,"#Warlock",""),IF(IFERROR(MATCH(SUBSTITUTE(A246,".md",""),'Wizard Spells'!A:A,0),0)&gt;0,"#Wizard",""))</f>
        <v>#Druid #Sorcerer #Wizard</v>
      </c>
    </row>
    <row r="247" spans="1:7" ht="105" x14ac:dyDescent="0.25">
      <c r="A247" t="s">
        <v>349</v>
      </c>
      <c r="B247" s="1" t="str">
        <f t="shared" si="12"/>
        <v>level 3 - #abjuration Casting Time: Action Range: Touch Components: V, S, M (a pinch of diamond dust worth 25+ GP, which the spell consumes) Duration: 8 hours 
For the duration, you hide a target that you touch from Divination spells. The target can be a willing creature, or it can be a place or an object no larger than 10 feet in any dimension. The target can't be targeted by any Divination spell or perceived through magical scrying sensors._x000D_
#Bard #Ranger #Wizard</v>
      </c>
      <c r="C247" t="str">
        <f t="shared" si="13"/>
        <v>level 3</v>
      </c>
      <c r="D247" s="1" t="s">
        <v>350</v>
      </c>
      <c r="E247" t="str">
        <f t="shared" si="14"/>
        <v>level 3</v>
      </c>
      <c r="F247" t="str">
        <f t="shared" si="15"/>
        <v>NULL</v>
      </c>
      <c r="G247" t="str">
        <f>_xlfn.TEXTJOIN(" ",TRUE,IF(IFERROR(MATCH(SUBSTITUTE(A247,".md",""),'Bard Spells'!A:A,0),0)&gt;0,"#Bard",""),IF(IFERROR(MATCH(SUBSTITUTE(A247,".md",""),'Cleric Spells'!A:A,0),0)&gt;0,"#Cleric",""),IF(IFERROR(MATCH(SUBSTITUTE(A247,".md",""),'Druid Spells'!A:A,0),0)&gt;0,"#Druid",""),IF(IFERROR(MATCH(SUBSTITUTE(A247,".md",""),'Paladin Spells'!A:A,0),0)&gt;0,"#Paladin",""),IF(IFERROR(MATCH(SUBSTITUTE(A247,".md",""),'Ranger Spells'!A:A,0),0)&gt;0,"#Ranger",""),IF(IFERROR(MATCH(SUBSTITUTE(A247,".md",""),'Sorcerer Spells'!A:A,0),0)&gt;0,"#Sorcerer",""),IF(IFERROR(MATCH(SUBSTITUTE(A247,".md",""),'Warlock Spells'!A:A,0),0)&gt;0,"#Warlock",""),IF(IFERROR(MATCH(SUBSTITUTE(A247,".md",""),'Wizard Spells'!A:A,0),0)&gt;0,"#Wizard",""))</f>
        <v>#Bard #Ranger #Wizard</v>
      </c>
    </row>
    <row r="248" spans="1:7" ht="150" x14ac:dyDescent="0.25">
      <c r="A248" t="s">
        <v>351</v>
      </c>
      <c r="B248" s="1" t="str">
        <f t="shared" si="12"/>
        <v>level 2 - #illusion Casting Time: Action Range: Touch Components: V, S, M (a small square of silk) Duration: 24 hours 
With a touch, you place an illusion on a willing creature or an object that isn't being worn or carried. A creature gains the Mask effect below, and an object gains the False Aura effect below. The effect lasts for the duration. If you cast the spell on the same target every day for 30 days, the illusion lasts until dispelled. 
**Mask (Creature).** Choose a creature type other than the target's actual type. Spells and other magical effects treat the target as if it were a creature of the chosen type. 
**False Aura (Object).** You change the way the target appears to spells and magical effects that detect magical auras, such as Detect Magic. You can make a nonmagical object appear magical, make a magic item appear nonmagical, or change the object's aura so that it appears to belong to a school of magic you choose._x000D_
#Wizard</v>
      </c>
      <c r="C248" t="str">
        <f t="shared" si="13"/>
        <v>level 2</v>
      </c>
      <c r="D248" s="1" t="s">
        <v>352</v>
      </c>
      <c r="E248" t="str">
        <f t="shared" si="14"/>
        <v>level 2</v>
      </c>
      <c r="F248" t="str">
        <f t="shared" si="15"/>
        <v>NULL</v>
      </c>
      <c r="G248" t="str">
        <f>_xlfn.TEXTJOIN(" ",TRUE,IF(IFERROR(MATCH(SUBSTITUTE(A248,".md",""),'Bard Spells'!A:A,0),0)&gt;0,"#Bard",""),IF(IFERROR(MATCH(SUBSTITUTE(A248,".md",""),'Cleric Spells'!A:A,0),0)&gt;0,"#Cleric",""),IF(IFERROR(MATCH(SUBSTITUTE(A248,".md",""),'Druid Spells'!A:A,0),0)&gt;0,"#Druid",""),IF(IFERROR(MATCH(SUBSTITUTE(A248,".md",""),'Paladin Spells'!A:A,0),0)&gt;0,"#Paladin",""),IF(IFERROR(MATCH(SUBSTITUTE(A248,".md",""),'Ranger Spells'!A:A,0),0)&gt;0,"#Ranger",""),IF(IFERROR(MATCH(SUBSTITUTE(A248,".md",""),'Sorcerer Spells'!A:A,0),0)&gt;0,"#Sorcerer",""),IF(IFERROR(MATCH(SUBSTITUTE(A248,".md",""),'Warlock Spells'!A:A,0),0)&gt;0,"#Warlock",""),IF(IFERROR(MATCH(SUBSTITUTE(A248,".md",""),'Wizard Spells'!A:A,0),0)&gt;0,"#Wizard",""))</f>
        <v>#Wizard</v>
      </c>
    </row>
    <row r="249" spans="1:7" ht="90" x14ac:dyDescent="0.25">
      <c r="A249" t="s">
        <v>353</v>
      </c>
      <c r="B249" s="1" t="str">
        <f t="shared" si="12"/>
        <v>level 6 - #evocation Casting Time: Action Range: 300 feet Components: V, S, M (a small crystal sphere) Duration: Instantaneous 
Description not available (not OGL)_x000D_
#Sorcerer #Wizard</v>
      </c>
      <c r="C249" t="str">
        <f t="shared" si="13"/>
        <v>level 6</v>
      </c>
      <c r="D249" s="1" t="s">
        <v>354</v>
      </c>
      <c r="E249" t="str">
        <f t="shared" si="14"/>
        <v>level 6</v>
      </c>
      <c r="F249" t="str">
        <f t="shared" si="15"/>
        <v>NULL</v>
      </c>
      <c r="G249" t="str">
        <f>_xlfn.TEXTJOIN(" ",TRUE,IF(IFERROR(MATCH(SUBSTITUTE(A249,".md",""),'Bard Spells'!A:A,0),0)&gt;0,"#Bard",""),IF(IFERROR(MATCH(SUBSTITUTE(A249,".md",""),'Cleric Spells'!A:A,0),0)&gt;0,"#Cleric",""),IF(IFERROR(MATCH(SUBSTITUTE(A249,".md",""),'Druid Spells'!A:A,0),0)&gt;0,"#Druid",""),IF(IFERROR(MATCH(SUBSTITUTE(A249,".md",""),'Paladin Spells'!A:A,0),0)&gt;0,"#Paladin",""),IF(IFERROR(MATCH(SUBSTITUTE(A249,".md",""),'Ranger Spells'!A:A,0),0)&gt;0,"#Ranger",""),IF(IFERROR(MATCH(SUBSTITUTE(A249,".md",""),'Sorcerer Spells'!A:A,0),0)&gt;0,"#Sorcerer",""),IF(IFERROR(MATCH(SUBSTITUTE(A249,".md",""),'Warlock Spells'!A:A,0),0)&gt;0,"#Warlock",""),IF(IFERROR(MATCH(SUBSTITUTE(A249,".md",""),'Wizard Spells'!A:A,0),0)&gt;0,"#Wizard",""))</f>
        <v>#Sorcerer #Wizard</v>
      </c>
    </row>
    <row r="250" spans="1:7" ht="150" x14ac:dyDescent="0.25">
      <c r="A250" t="s">
        <v>355</v>
      </c>
      <c r="B250" s="1" t="str">
        <f t="shared" si="12"/>
        <v>level 4 - #evocation Casting Time: Action Range: 30 feet Components: V, S, M (a glass sphere) Duration: #Concentration, up to 1 minute 
A shimmering sphere encloses a Large or smaller creature or object within range. An unwilling creature must succeed on a Dexterity saving throw or be enclosed for the duration. Nothing-not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take an action to push against the sphere's walls and thus roll the sphere at up to half the creature's Speed. Similarly, the globe can be picked up and moved by other creatures. A Disintegrate spell targeting the globe destroys it without harming anything inside_x000D_
#Wizard</v>
      </c>
      <c r="C250" t="str">
        <f t="shared" si="13"/>
        <v>level 4</v>
      </c>
      <c r="D250" s="1" t="s">
        <v>356</v>
      </c>
      <c r="E250" t="str">
        <f t="shared" si="14"/>
        <v>level 4</v>
      </c>
      <c r="F250" t="str">
        <f t="shared" si="15"/>
        <v>NULL</v>
      </c>
      <c r="G250" t="str">
        <f>_xlfn.TEXTJOIN(" ",TRUE,IF(IFERROR(MATCH(SUBSTITUTE(A250,".md",""),'Bard Spells'!A:A,0),0)&gt;0,"#Bard",""),IF(IFERROR(MATCH(SUBSTITUTE(A250,".md",""),'Cleric Spells'!A:A,0),0)&gt;0,"#Cleric",""),IF(IFERROR(MATCH(SUBSTITUTE(A250,".md",""),'Druid Spells'!A:A,0),0)&gt;0,"#Druid",""),IF(IFERROR(MATCH(SUBSTITUTE(A250,".md",""),'Paladin Spells'!A:A,0),0)&gt;0,"#Paladin",""),IF(IFERROR(MATCH(SUBSTITUTE(A250,".md",""),'Ranger Spells'!A:A,0),0)&gt;0,"#Ranger",""),IF(IFERROR(MATCH(SUBSTITUTE(A250,".md",""),'Sorcerer Spells'!A:A,0),0)&gt;0,"#Sorcerer",""),IF(IFERROR(MATCH(SUBSTITUTE(A250,".md",""),'Warlock Spells'!A:A,0),0)&gt;0,"#Warlock",""),IF(IFERROR(MATCH(SUBSTITUTE(A250,".md",""),'Wizard Spells'!A:A,0),0)&gt;0,"#Wizard",""))</f>
        <v>#Wizard</v>
      </c>
    </row>
    <row r="251" spans="1:7" ht="90" x14ac:dyDescent="0.25">
      <c r="A251" t="s">
        <v>357</v>
      </c>
      <c r="B251" s="1" t="str">
        <f t="shared" si="12"/>
        <v>level 6 - #enchantment Casting Time: Action Range: 30 feet Components: V Duration: #Concentration, up to 1 minute 
Description not available (not OGL)_x000D_
#Bard #Wizard</v>
      </c>
      <c r="C251" t="str">
        <f t="shared" si="13"/>
        <v>level 6</v>
      </c>
      <c r="D251" s="1" t="s">
        <v>358</v>
      </c>
      <c r="E251" t="str">
        <f t="shared" si="14"/>
        <v>level 6</v>
      </c>
      <c r="F251" t="str">
        <f t="shared" si="15"/>
        <v>NULL</v>
      </c>
      <c r="G251" t="str">
        <f>_xlfn.TEXTJOIN(" ",TRUE,IF(IFERROR(MATCH(SUBSTITUTE(A251,".md",""),'Bard Spells'!A:A,0),0)&gt;0,"#Bard",""),IF(IFERROR(MATCH(SUBSTITUTE(A251,".md",""),'Cleric Spells'!A:A,0),0)&gt;0,"#Cleric",""),IF(IFERROR(MATCH(SUBSTITUTE(A251,".md",""),'Druid Spells'!A:A,0),0)&gt;0,"#Druid",""),IF(IFERROR(MATCH(SUBSTITUTE(A251,".md",""),'Paladin Spells'!A:A,0),0)&gt;0,"#Paladin",""),IF(IFERROR(MATCH(SUBSTITUTE(A251,".md",""),'Ranger Spells'!A:A,0),0)&gt;0,"#Ranger",""),IF(IFERROR(MATCH(SUBSTITUTE(A251,".md",""),'Sorcerer Spells'!A:A,0),0)&gt;0,"#Sorcerer",""),IF(IFERROR(MATCH(SUBSTITUTE(A251,".md",""),'Warlock Spells'!A:A,0),0)&gt;0,"#Warlock",""),IF(IFERROR(MATCH(SUBSTITUTE(A251,".md",""),'Wizard Spells'!A:A,0),0)&gt;0,"#Wizard",""))</f>
        <v>#Bard #Wizard</v>
      </c>
    </row>
    <row r="252" spans="1:7" ht="90" x14ac:dyDescent="0.25">
      <c r="A252" t="s">
        <v>359</v>
      </c>
      <c r="B252" s="1" t="str">
        <f t="shared" si="12"/>
        <v>level 2 - #abjuration Casting Time: Action Range: Self Components: V, S, M (ashes from a burned mistletoe) Duration: #Concentration, up to 1 hour 
You radiate a concealing aura in a 30-foot Emanation for the duration. While in the aura, you and each creature you choose have a +10 bonus to Dexterity (Stealth) checks and leave no tracks._x000D_
#Druid #Ranger</v>
      </c>
      <c r="C252" t="str">
        <f t="shared" si="13"/>
        <v>level 2</v>
      </c>
      <c r="D252" s="1" t="s">
        <v>360</v>
      </c>
      <c r="E252" t="str">
        <f t="shared" si="14"/>
        <v>level 2</v>
      </c>
      <c r="F252" t="str">
        <f t="shared" si="15"/>
        <v>NULL</v>
      </c>
      <c r="G252" t="str">
        <f>_xlfn.TEXTJOIN(" ",TRUE,IF(IFERROR(MATCH(SUBSTITUTE(A252,".md",""),'Bard Spells'!A:A,0),0)&gt;0,"#Bard",""),IF(IFERROR(MATCH(SUBSTITUTE(A252,".md",""),'Cleric Spells'!A:A,0),0)&gt;0,"#Cleric",""),IF(IFERROR(MATCH(SUBSTITUTE(A252,".md",""),'Druid Spells'!A:A,0),0)&gt;0,"#Druid",""),IF(IFERROR(MATCH(SUBSTITUTE(A252,".md",""),'Paladin Spells'!A:A,0),0)&gt;0,"#Paladin",""),IF(IFERROR(MATCH(SUBSTITUTE(A252,".md",""),'Ranger Spells'!A:A,0),0)&gt;0,"#Ranger",""),IF(IFERROR(MATCH(SUBSTITUTE(A252,".md",""),'Sorcerer Spells'!A:A,0),0)&gt;0,"#Sorcerer",""),IF(IFERROR(MATCH(SUBSTITUTE(A252,".md",""),'Warlock Spells'!A:A,0),0)&gt;0,"#Warlock",""),IF(IFERROR(MATCH(SUBSTITUTE(A252,".md",""),'Wizard Spells'!A:A,0),0)&gt;0,"#Wizard",""))</f>
        <v>#Druid #Ranger</v>
      </c>
    </row>
    <row r="253" spans="1:7" ht="120" x14ac:dyDescent="0.25">
      <c r="A253" t="s">
        <v>361</v>
      </c>
      <c r="B253" s="1" t="str">
        <f t="shared" si="12"/>
        <v>level 5 - #transmutation Casting Time: Action Range: 30 feet Components: V, S, M (a pinch of sesame seads) Duration: 1 hour 
A passage appears at a point that you can see on a wooden, plaster, or stone surface (such as a wall, ceiling, or floor) within range and lasts for the duration. You choose the opening's dimensions: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spell_x000D_
#Wizard</v>
      </c>
      <c r="C253" t="str">
        <f t="shared" si="13"/>
        <v>level 5</v>
      </c>
      <c r="D253" s="1" t="s">
        <v>362</v>
      </c>
      <c r="E253" t="str">
        <f t="shared" si="14"/>
        <v>level 5</v>
      </c>
      <c r="F253" t="str">
        <f t="shared" si="15"/>
        <v>NULL</v>
      </c>
      <c r="G253" t="str">
        <f>_xlfn.TEXTJOIN(" ",TRUE,IF(IFERROR(MATCH(SUBSTITUTE(A253,".md",""),'Bard Spells'!A:A,0),0)&gt;0,"#Bard",""),IF(IFERROR(MATCH(SUBSTITUTE(A253,".md",""),'Cleric Spells'!A:A,0),0)&gt;0,"#Cleric",""),IF(IFERROR(MATCH(SUBSTITUTE(A253,".md",""),'Druid Spells'!A:A,0),0)&gt;0,"#Druid",""),IF(IFERROR(MATCH(SUBSTITUTE(A253,".md",""),'Paladin Spells'!A:A,0),0)&gt;0,"#Paladin",""),IF(IFERROR(MATCH(SUBSTITUTE(A253,".md",""),'Ranger Spells'!A:A,0),0)&gt;0,"#Ranger",""),IF(IFERROR(MATCH(SUBSTITUTE(A253,".md",""),'Sorcerer Spells'!A:A,0),0)&gt;0,"#Sorcerer",""),IF(IFERROR(MATCH(SUBSTITUTE(A253,".md",""),'Warlock Spells'!A:A,0),0)&gt;0,"#Warlock",""),IF(IFERROR(MATCH(SUBSTITUTE(A253,".md",""),'Wizard Spells'!A:A,0),0)&gt;0,"#Wizard",""))</f>
        <v>#Wizard</v>
      </c>
    </row>
    <row r="254" spans="1:7" ht="195" x14ac:dyDescent="0.25">
      <c r="A254" t="s">
        <v>363</v>
      </c>
      <c r="B254" s="1" t="str">
        <f t="shared" si="12"/>
        <v>level 2 - #illusion Casting Time: Action Range: 60 feet Components: V, S, M (a bit of fleece) Duration: #Concentration, up to 1 minute 
You attempt to craft an illusion in the mind of a creature you can see within range. The target makes an Intelligence saving throw. On a failed save, you create a phantasmal object, creature, or other phenomenon that is no larger than a 10-foot Cube and that is perceivable only to the target for the duration. The phantasm includes sound, temperature, and other stimuli. 
The target can take a Study action to examine the phantasm with an Intelligence (Investigation) check against your spell save DC. If the check succeeds, the target realizes that the phantasm is an illusion, and the spell ends. 
While affected by the spell, the target treats the phantasm as if it were real and rationalizes any illogical outcomes from interacting with it. For example, if the target steps through a phantasmal bridge and survives the fall, it believes the bridge exists and something else caused it to fall. 
An affected target can even take damage from the illusion if the phantasm represents a dangerous creature or hazard. On each of your turns, such a phantasm can deal 2d8 Psychic damage to the target if it is in the phantasm's area or within 5 feet of the phantasm. The target perceives the damage as a type appropriate to the illusion._x000D_
#Bard #Sorcerer #Wizard</v>
      </c>
      <c r="C254" t="str">
        <f t="shared" si="13"/>
        <v>level 2</v>
      </c>
      <c r="D254" s="1" t="s">
        <v>364</v>
      </c>
      <c r="E254" t="str">
        <f t="shared" si="14"/>
        <v>level 2</v>
      </c>
      <c r="F254" t="str">
        <f t="shared" si="15"/>
        <v>NULL</v>
      </c>
      <c r="G254" t="str">
        <f>_xlfn.TEXTJOIN(" ",TRUE,IF(IFERROR(MATCH(SUBSTITUTE(A254,".md",""),'Bard Spells'!A:A,0),0)&gt;0,"#Bard",""),IF(IFERROR(MATCH(SUBSTITUTE(A254,".md",""),'Cleric Spells'!A:A,0),0)&gt;0,"#Cleric",""),IF(IFERROR(MATCH(SUBSTITUTE(A254,".md",""),'Druid Spells'!A:A,0),0)&gt;0,"#Druid",""),IF(IFERROR(MATCH(SUBSTITUTE(A254,".md",""),'Paladin Spells'!A:A,0),0)&gt;0,"#Paladin",""),IF(IFERROR(MATCH(SUBSTITUTE(A254,".md",""),'Ranger Spells'!A:A,0),0)&gt;0,"#Ranger",""),IF(IFERROR(MATCH(SUBSTITUTE(A254,".md",""),'Sorcerer Spells'!A:A,0),0)&gt;0,"#Sorcerer",""),IF(IFERROR(MATCH(SUBSTITUTE(A254,".md",""),'Warlock Spells'!A:A,0),0)&gt;0,"#Warlock",""),IF(IFERROR(MATCH(SUBSTITUTE(A254,".md",""),'Wizard Spells'!A:A,0),0)&gt;0,"#Wizard",""))</f>
        <v>#Bard #Sorcerer #Wizard</v>
      </c>
    </row>
    <row r="255" spans="1:7" ht="150" x14ac:dyDescent="0.25">
      <c r="A255" t="s">
        <v>365</v>
      </c>
      <c r="B255" s="1" t="str">
        <f t="shared" si="12"/>
        <v>level 4 - #illusion Casting Time: Action Range: 120 feet Components: V, S Duration: #Concentration, up to 1 minute 
You tap into the nightmares of a creature you can see within range and create an illusion of its deepest fears, visible only to that creature. The target makes a Wisdom saving throw. On a failed save, the target takes 4d10 Psychic damage and has Disadvantage on ability checks and attack rolls for the duration. On a successful save, the target takes half as much damage, and the spell ends. 
For the duration, the target makes a Wisdom saving throw at the end of each of its turns. On a failed save, it takes the Psychic damage again. On a successful save, the spell ends. 
Using a Higher-Level Spell Slot. The damage increases by 1d10 for each spell slot level above 4_x000D_
#Bard #Wizard</v>
      </c>
      <c r="C255" t="str">
        <f t="shared" si="13"/>
        <v>level 4</v>
      </c>
      <c r="D255" s="1" t="s">
        <v>366</v>
      </c>
      <c r="E255" t="str">
        <f t="shared" si="14"/>
        <v>level 4</v>
      </c>
      <c r="F255" t="str">
        <f t="shared" si="15"/>
        <v>NULL</v>
      </c>
      <c r="G255" t="str">
        <f>_xlfn.TEXTJOIN(" ",TRUE,IF(IFERROR(MATCH(SUBSTITUTE(A255,".md",""),'Bard Spells'!A:A,0),0)&gt;0,"#Bard",""),IF(IFERROR(MATCH(SUBSTITUTE(A255,".md",""),'Cleric Spells'!A:A,0),0)&gt;0,"#Cleric",""),IF(IFERROR(MATCH(SUBSTITUTE(A255,".md",""),'Druid Spells'!A:A,0),0)&gt;0,"#Druid",""),IF(IFERROR(MATCH(SUBSTITUTE(A255,".md",""),'Paladin Spells'!A:A,0),0)&gt;0,"#Paladin",""),IF(IFERROR(MATCH(SUBSTITUTE(A255,".md",""),'Ranger Spells'!A:A,0),0)&gt;0,"#Ranger",""),IF(IFERROR(MATCH(SUBSTITUTE(A255,".md",""),'Sorcerer Spells'!A:A,0),0)&gt;0,"#Sorcerer",""),IF(IFERROR(MATCH(SUBSTITUTE(A255,".md",""),'Warlock Spells'!A:A,0),0)&gt;0,"#Warlock",""),IF(IFERROR(MATCH(SUBSTITUTE(A255,".md",""),'Wizard Spells'!A:A,0),0)&gt;0,"#Wizard",""))</f>
        <v>#Bard #Wizard</v>
      </c>
    </row>
    <row r="256" spans="1:7" ht="135" x14ac:dyDescent="0.25">
      <c r="A256" t="s">
        <v>367</v>
      </c>
      <c r="B256" s="1" t="str">
        <f t="shared" si="12"/>
        <v>level 3 - #illusion ( #ritual ) Casting Time: 1 minute or Ritual Range: 30 feet Components: V, S Duration: 1 hour 
A Large, quasi-real, horselike creature appears on the ground in an unoccupied space of your choice within range. You decide the creature's appearance, and it is equipped with a saddle, bit, and bridle. Any of the equipment created by the spell vanishes in a puff of smoke if it is carried more than 10 feet away from the steed. 
For the duration, you or a creature you choose can ride the steed. The steed uses the **Riding Horse** stat block, except it has a Speed of 100 feet and can travel 13 miles in an hour. When the spell ends, the steed gradually fades, giving the rider 1 minute to dismount. The spell ends early if the steed takes any damage_x000D_
#Wizard</v>
      </c>
      <c r="C256" t="str">
        <f t="shared" si="13"/>
        <v>level 3</v>
      </c>
      <c r="D256" s="1" t="s">
        <v>654</v>
      </c>
      <c r="E256" t="str">
        <f t="shared" si="14"/>
        <v>level 3</v>
      </c>
      <c r="F256" t="str">
        <f t="shared" si="15"/>
        <v>NULL</v>
      </c>
      <c r="G256" t="str">
        <f>_xlfn.TEXTJOIN(" ",TRUE,IF(IFERROR(MATCH(SUBSTITUTE(A256,".md",""),'Bard Spells'!A:A,0),0)&gt;0,"#Bard",""),IF(IFERROR(MATCH(SUBSTITUTE(A256,".md",""),'Cleric Spells'!A:A,0),0)&gt;0,"#Cleric",""),IF(IFERROR(MATCH(SUBSTITUTE(A256,".md",""),'Druid Spells'!A:A,0),0)&gt;0,"#Druid",""),IF(IFERROR(MATCH(SUBSTITUTE(A256,".md",""),'Paladin Spells'!A:A,0),0)&gt;0,"#Paladin",""),IF(IFERROR(MATCH(SUBSTITUTE(A256,".md",""),'Ranger Spells'!A:A,0),0)&gt;0,"#Ranger",""),IF(IFERROR(MATCH(SUBSTITUTE(A256,".md",""),'Sorcerer Spells'!A:A,0),0)&gt;0,"#Sorcerer",""),IF(IFERROR(MATCH(SUBSTITUTE(A256,".md",""),'Warlock Spells'!A:A,0),0)&gt;0,"#Warlock",""),IF(IFERROR(MATCH(SUBSTITUTE(A256,".md",""),'Wizard Spells'!A:A,0),0)&gt;0,"#Wizard",""))</f>
        <v>#Wizard</v>
      </c>
    </row>
    <row r="257" spans="1:7" ht="255" x14ac:dyDescent="0.25">
      <c r="A257" t="s">
        <v>368</v>
      </c>
      <c r="B257" s="1" t="str">
        <f t="shared" si="12"/>
        <v>level 6 - #conjuration Casting Time: 10 minutes Range: 60 feet Components: V, S Duration: Instantaneous 
You beseech an otherworldly entity for aid. The being must be known to you: a god,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a particular way. You can ask it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possible. If you are unable to agree on a price for the creature's service, the creature immediately returns to its home plane_x000D_
#Cleric</v>
      </c>
      <c r="C257" t="str">
        <f t="shared" si="13"/>
        <v>level 6</v>
      </c>
      <c r="D257" s="1" t="s">
        <v>369</v>
      </c>
      <c r="E257" t="str">
        <f t="shared" si="14"/>
        <v>level 6</v>
      </c>
      <c r="F257" t="str">
        <f t="shared" si="15"/>
        <v>NULL</v>
      </c>
      <c r="G257" t="str">
        <f>_xlfn.TEXTJOIN(" ",TRUE,IF(IFERROR(MATCH(SUBSTITUTE(A257,".md",""),'Bard Spells'!A:A,0),0)&gt;0,"#Bard",""),IF(IFERROR(MATCH(SUBSTITUTE(A257,".md",""),'Cleric Spells'!A:A,0),0)&gt;0,"#Cleric",""),IF(IFERROR(MATCH(SUBSTITUTE(A257,".md",""),'Druid Spells'!A:A,0),0)&gt;0,"#Druid",""),IF(IFERROR(MATCH(SUBSTITUTE(A257,".md",""),'Paladin Spells'!A:A,0),0)&gt;0,"#Paladin",""),IF(IFERROR(MATCH(SUBSTITUTE(A257,".md",""),'Ranger Spells'!A:A,0),0)&gt;0,"#Ranger",""),IF(IFERROR(MATCH(SUBSTITUTE(A257,".md",""),'Sorcerer Spells'!A:A,0),0)&gt;0,"#Sorcerer",""),IF(IFERROR(MATCH(SUBSTITUTE(A257,".md",""),'Warlock Spells'!A:A,0),0)&gt;0,"#Warlock",""),IF(IFERROR(MATCH(SUBSTITUTE(A257,".md",""),'Wizard Spells'!A:A,0),0)&gt;0,"#Wizard",""))</f>
        <v>#Cleric</v>
      </c>
    </row>
    <row r="258" spans="1:7" ht="195" x14ac:dyDescent="0.25">
      <c r="A258" t="s">
        <v>370</v>
      </c>
      <c r="B258" s="1" t="str">
        <f t="shared" ref="B258:B321" si="16">D258&amp;CHAR(10)&amp;CHAR(10)&amp;G258</f>
        <v>level 5 - #abjuration Casting Time: 1 hour Range: 60 feet Components: V, S, M (a jewel worth 1,000+ GP, which the spell consumes) Duration: 24 hours 
You attempt to bind a Celestial, an Elemental, a Fey, or a Fiend to your service. The creature must be within range for the entire casting of the spell. (Typically, the creature is first summoned into the center of the inverted version of the Magic Circle spell to trap it while this spell is cast.) At the completion of the casting, the target must succeed on a Charisma saving throw or be bound to serve you for the duration. If the creature was summoned or created by another spell, that spell's duration is extended to match the duration of this spell. 
A bound creature must follow your commands to the best of its ability. You might command the creature to accompany you on an adventure, to guard a location, or to deliver a message. If the creature is Hostile, it strives to twist your commands to achieve its own objectives. If the creature carries out your commands completely before the spell ends, it travels to you to report this fact if you are on the same plane of existence. If you are on a different plane, it returns to the place where you bound it and remains there until the spell ends. 
Using a Higher-Level Spell Slot. The duration increases with a spell slot of level 6 (10 days), 7 (30 days), 8 (180 days), and 9 (366 days)_x000D_
#Bard #Cleric #Druid #Warlock #Wizard</v>
      </c>
      <c r="C258" t="str">
        <f t="shared" ref="C258:C321" si="17">E258</f>
        <v>level 5</v>
      </c>
      <c r="D258" s="1" t="s">
        <v>371</v>
      </c>
      <c r="E258" t="str">
        <f t="shared" ref="E258:E321" si="18">LEFT(D258,7)</f>
        <v>level 5</v>
      </c>
      <c r="F258" t="str">
        <f t="shared" ref="F258:F321" si="19">IF(AND(ISNUMBER(SEARCH("- ", D258)), NOT(ISNUMBER(SEARCH("- #", D258)))), "Match", "NULL")</f>
        <v>NULL</v>
      </c>
      <c r="G258" t="str">
        <f>_xlfn.TEXTJOIN(" ",TRUE,IF(IFERROR(MATCH(SUBSTITUTE(A258,".md",""),'Bard Spells'!A:A,0),0)&gt;0,"#Bard",""),IF(IFERROR(MATCH(SUBSTITUTE(A258,".md",""),'Cleric Spells'!A:A,0),0)&gt;0,"#Cleric",""),IF(IFERROR(MATCH(SUBSTITUTE(A258,".md",""),'Druid Spells'!A:A,0),0)&gt;0,"#Druid",""),IF(IFERROR(MATCH(SUBSTITUTE(A258,".md",""),'Paladin Spells'!A:A,0),0)&gt;0,"#Paladin",""),IF(IFERROR(MATCH(SUBSTITUTE(A258,".md",""),'Ranger Spells'!A:A,0),0)&gt;0,"#Ranger",""),IF(IFERROR(MATCH(SUBSTITUTE(A258,".md",""),'Sorcerer Spells'!A:A,0),0)&gt;0,"#Sorcerer",""),IF(IFERROR(MATCH(SUBSTITUTE(A258,".md",""),'Warlock Spells'!A:A,0),0)&gt;0,"#Warlock",""),IF(IFERROR(MATCH(SUBSTITUTE(A258,".md",""),'Wizard Spells'!A:A,0),0)&gt;0,"#Wizard",""))</f>
        <v>#Bard #Cleric #Druid #Warlock #Wizard</v>
      </c>
    </row>
    <row r="259" spans="1:7" ht="135" x14ac:dyDescent="0.25">
      <c r="A259" t="s">
        <v>372</v>
      </c>
      <c r="B259" s="1" t="str">
        <f t="shared" si="16"/>
        <v>level 7 - #conjuration Casting Time: Action Range: Touch Components: V, S, M (a forked, metal rod worth 250+ GP and attuned to a particular plane of existence) Duration: Instantaneous 
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as determined by the DM.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circle_x000D_
#Cleric #Druid #Sorcerer #Warlock #Wizard</v>
      </c>
      <c r="C259" t="str">
        <f t="shared" si="17"/>
        <v>level 7</v>
      </c>
      <c r="D259" s="1" t="s">
        <v>373</v>
      </c>
      <c r="E259" t="str">
        <f t="shared" si="18"/>
        <v>level 7</v>
      </c>
      <c r="F259" t="str">
        <f t="shared" si="19"/>
        <v>NULL</v>
      </c>
      <c r="G259" t="str">
        <f>_xlfn.TEXTJOIN(" ",TRUE,IF(IFERROR(MATCH(SUBSTITUTE(A259,".md",""),'Bard Spells'!A:A,0),0)&gt;0,"#Bard",""),IF(IFERROR(MATCH(SUBSTITUTE(A259,".md",""),'Cleric Spells'!A:A,0),0)&gt;0,"#Cleric",""),IF(IFERROR(MATCH(SUBSTITUTE(A259,".md",""),'Druid Spells'!A:A,0),0)&gt;0,"#Druid",""),IF(IFERROR(MATCH(SUBSTITUTE(A259,".md",""),'Paladin Spells'!A:A,0),0)&gt;0,"#Paladin",""),IF(IFERROR(MATCH(SUBSTITUTE(A259,".md",""),'Ranger Spells'!A:A,0),0)&gt;0,"#Ranger",""),IF(IFERROR(MATCH(SUBSTITUTE(A259,".md",""),'Sorcerer Spells'!A:A,0),0)&gt;0,"#Sorcerer",""),IF(IFERROR(MATCH(SUBSTITUTE(A259,".md",""),'Warlock Spells'!A:A,0),0)&gt;0,"#Warlock",""),IF(IFERROR(MATCH(SUBSTITUTE(A259,".md",""),'Wizard Spells'!A:A,0),0)&gt;0,"#Wizard",""))</f>
        <v>#Cleric #Druid #Sorcerer #Warlock #Wizard</v>
      </c>
    </row>
    <row r="260" spans="1:7" ht="150" x14ac:dyDescent="0.25">
      <c r="A260" t="s">
        <v>374</v>
      </c>
      <c r="B260" s="1" t="str">
        <f t="shared" si="16"/>
        <v>level 3 - #transmutation Casting Time: Action (Overgrowth) or 8 hours (Enrichment) Range: 150 feet Components: V, S Duration: Instantaneous 
This spell channels vitality into plants. The casting time you use determines whether the spell has the Overgrowth or the Enrichment effect below. 
**Overgrowth**. Choose a point within range. All normal plants in a 100-foot-radius Sphere centered on that point become thick and overgrown. A creature moving through that area must spend 4 feet of movement for every 1 foot it moves. You can exclude one or more areas of any size within the spell's area from being affected. 
**Enrichment**. All plants in a half-mile radius centered on a point within range become enriched for 365 days. The plants yield twice the normal amount of food when harvested. They can benefit from only one Plant Growth per year_x000D_
#Bard #Druid #Ranger</v>
      </c>
      <c r="C260" t="str">
        <f t="shared" si="17"/>
        <v>level 3</v>
      </c>
      <c r="D260" s="1" t="s">
        <v>375</v>
      </c>
      <c r="E260" t="str">
        <f t="shared" si="18"/>
        <v>level 3</v>
      </c>
      <c r="F260" t="str">
        <f t="shared" si="19"/>
        <v>NULL</v>
      </c>
      <c r="G260" t="str">
        <f>_xlfn.TEXTJOIN(" ",TRUE,IF(IFERROR(MATCH(SUBSTITUTE(A260,".md",""),'Bard Spells'!A:A,0),0)&gt;0,"#Bard",""),IF(IFERROR(MATCH(SUBSTITUTE(A260,".md",""),'Cleric Spells'!A:A,0),0)&gt;0,"#Cleric",""),IF(IFERROR(MATCH(SUBSTITUTE(A260,".md",""),'Druid Spells'!A:A,0),0)&gt;0,"#Druid",""),IF(IFERROR(MATCH(SUBSTITUTE(A260,".md",""),'Paladin Spells'!A:A,0),0)&gt;0,"#Paladin",""),IF(IFERROR(MATCH(SUBSTITUTE(A260,".md",""),'Ranger Spells'!A:A,0),0)&gt;0,"#Ranger",""),IF(IFERROR(MATCH(SUBSTITUTE(A260,".md",""),'Sorcerer Spells'!A:A,0),0)&gt;0,"#Sorcerer",""),IF(IFERROR(MATCH(SUBSTITUTE(A260,".md",""),'Warlock Spells'!A:A,0),0)&gt;0,"#Warlock",""),IF(IFERROR(MATCH(SUBSTITUTE(A260,".md",""),'Wizard Spells'!A:A,0),0)&gt;0,"#Wizard",""))</f>
        <v>#Bard #Druid #Ranger</v>
      </c>
    </row>
    <row r="261" spans="1:7" ht="120" x14ac:dyDescent="0.25">
      <c r="A261" t="s">
        <v>376</v>
      </c>
      <c r="B261" s="1" t="str">
        <f t="shared" si="16"/>
        <v>level 0 - #necromancy Casting Time: Action Range: 30 feet Components: V, S Duration: Instantaneous 
You spray toxic mist at a creature within range. Make a ranged spell attack against the target. On a hit, the target takes 1d12 Poison damage. 
Cantrip Upgrade. The damage increases by 1d12 when you reach levels 5 (2d12), 11 (3d12), and 17 (4d12)_x000D_
#Druid #Sorcerer #Warlock #Wizard</v>
      </c>
      <c r="C261" t="str">
        <f t="shared" si="17"/>
        <v>level 0</v>
      </c>
      <c r="D261" s="1" t="s">
        <v>377</v>
      </c>
      <c r="E261" t="str">
        <f t="shared" si="18"/>
        <v>level 0</v>
      </c>
      <c r="F261" t="str">
        <f t="shared" si="19"/>
        <v>NULL</v>
      </c>
      <c r="G261" t="str">
        <f>_xlfn.TEXTJOIN(" ",TRUE,IF(IFERROR(MATCH(SUBSTITUTE(A261,".md",""),'Bard Spells'!A:A,0),0)&gt;0,"#Bard",""),IF(IFERROR(MATCH(SUBSTITUTE(A261,".md",""),'Cleric Spells'!A:A,0),0)&gt;0,"#Cleric",""),IF(IFERROR(MATCH(SUBSTITUTE(A261,".md",""),'Druid Spells'!A:A,0),0)&gt;0,"#Druid",""),IF(IFERROR(MATCH(SUBSTITUTE(A261,".md",""),'Paladin Spells'!A:A,0),0)&gt;0,"#Paladin",""),IF(IFERROR(MATCH(SUBSTITUTE(A261,".md",""),'Ranger Spells'!A:A,0),0)&gt;0,"#Ranger",""),IF(IFERROR(MATCH(SUBSTITUTE(A261,".md",""),'Sorcerer Spells'!A:A,0),0)&gt;0,"#Sorcerer",""),IF(IFERROR(MATCH(SUBSTITUTE(A261,".md",""),'Warlock Spells'!A:A,0),0)&gt;0,"#Warlock",""),IF(IFERROR(MATCH(SUBSTITUTE(A261,".md",""),'Wizard Spells'!A:A,0),0)&gt;0,"#Wizard",""))</f>
        <v>#Druid #Sorcerer #Warlock #Wizard</v>
      </c>
    </row>
    <row r="262" spans="1:7" ht="165" x14ac:dyDescent="0.25">
      <c r="A262" t="s">
        <v>378</v>
      </c>
      <c r="B262" s="1" t="str">
        <f t="shared" si="16"/>
        <v>level 4 - #transmutation Casting Time: Action Range: 60 feet Components: V, S, M (a caterpillar cocoon) Duration: #Concentration, up to 1 hour 
You attempt to transform a creature that you can see within range into a Beast. The target must succeed on a Wisdom saving throw or shape-shift into Beast form for the duration. That form can be any Beast you choose that has a Challenge Rating equal to or less than the target's (or the target's level if it doesn't have a Challenge Rating). The target's game statistics are replaced by the stat block of the chosen Beast, but the target retains its alignment, personality, creature type, Hit Points, and Hit Point Dice. 
The target gains a number of Temporary Hit Points equal to the Hit Points of the Beast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equipment._x000D_
#Bard #Druid #Sorcerer #Wizard</v>
      </c>
      <c r="C262" t="str">
        <f t="shared" si="17"/>
        <v>level 4</v>
      </c>
      <c r="D262" s="1" t="s">
        <v>379</v>
      </c>
      <c r="E262" t="str">
        <f t="shared" si="18"/>
        <v>level 4</v>
      </c>
      <c r="F262" t="str">
        <f t="shared" si="19"/>
        <v>NULL</v>
      </c>
      <c r="G262" t="str">
        <f>_xlfn.TEXTJOIN(" ",TRUE,IF(IFERROR(MATCH(SUBSTITUTE(A262,".md",""),'Bard Spells'!A:A,0),0)&gt;0,"#Bard",""),IF(IFERROR(MATCH(SUBSTITUTE(A262,".md",""),'Cleric Spells'!A:A,0),0)&gt;0,"#Cleric",""),IF(IFERROR(MATCH(SUBSTITUTE(A262,".md",""),'Druid Spells'!A:A,0),0)&gt;0,"#Druid",""),IF(IFERROR(MATCH(SUBSTITUTE(A262,".md",""),'Paladin Spells'!A:A,0),0)&gt;0,"#Paladin",""),IF(IFERROR(MATCH(SUBSTITUTE(A262,".md",""),'Ranger Spells'!A:A,0),0)&gt;0,"#Ranger",""),IF(IFERROR(MATCH(SUBSTITUTE(A262,".md",""),'Sorcerer Spells'!A:A,0),0)&gt;0,"#Sorcerer",""),IF(IFERROR(MATCH(SUBSTITUTE(A262,".md",""),'Warlock Spells'!A:A,0),0)&gt;0,"#Warlock",""),IF(IFERROR(MATCH(SUBSTITUTE(A262,".md",""),'Wizard Spells'!A:A,0),0)&gt;0,"#Wizard",""))</f>
        <v>#Bard #Druid #Sorcerer #Wizard</v>
      </c>
    </row>
    <row r="263" spans="1:7" ht="90" x14ac:dyDescent="0.25">
      <c r="A263" t="s">
        <v>380</v>
      </c>
      <c r="B263" s="1" t="str">
        <f t="shared" si="16"/>
        <v>level 7 - #enchantment Casting Time: Action Range: 60 feet Components: V Duration: Instantaneous 
Description not available (not OGL)_x000D_
#Bard #Cleric</v>
      </c>
      <c r="C263" t="str">
        <f t="shared" si="17"/>
        <v>level 7</v>
      </c>
      <c r="D263" s="1" t="s">
        <v>381</v>
      </c>
      <c r="E263" t="str">
        <f t="shared" si="18"/>
        <v>level 7</v>
      </c>
      <c r="F263" t="str">
        <f t="shared" si="19"/>
        <v>NULL</v>
      </c>
      <c r="G263" t="str">
        <f>_xlfn.TEXTJOIN(" ",TRUE,IF(IFERROR(MATCH(SUBSTITUTE(A263,".md",""),'Bard Spells'!A:A,0),0)&gt;0,"#Bard",""),IF(IFERROR(MATCH(SUBSTITUTE(A263,".md",""),'Cleric Spells'!A:A,0),0)&gt;0,"#Cleric",""),IF(IFERROR(MATCH(SUBSTITUTE(A263,".md",""),'Druid Spells'!A:A,0),0)&gt;0,"#Druid",""),IF(IFERROR(MATCH(SUBSTITUTE(A263,".md",""),'Paladin Spells'!A:A,0),0)&gt;0,"#Paladin",""),IF(IFERROR(MATCH(SUBSTITUTE(A263,".md",""),'Ranger Spells'!A:A,0),0)&gt;0,"#Ranger",""),IF(IFERROR(MATCH(SUBSTITUTE(A263,".md",""),'Sorcerer Spells'!A:A,0),0)&gt;0,"#Sorcerer",""),IF(IFERROR(MATCH(SUBSTITUTE(A263,".md",""),'Warlock Spells'!A:A,0),0)&gt;0,"#Warlock",""),IF(IFERROR(MATCH(SUBSTITUTE(A263,".md",""),'Wizard Spells'!A:A,0),0)&gt;0,"#Wizard",""))</f>
        <v>#Bard #Cleric</v>
      </c>
    </row>
    <row r="264" spans="1:7" ht="105" x14ac:dyDescent="0.25">
      <c r="A264" t="s">
        <v>382</v>
      </c>
      <c r="B264" s="1" t="str">
        <f t="shared" si="16"/>
        <v>level 9 - #enchantment Casting Time: Action Range: 60 feet Components: V Duration: Instantaneous 
A wave of healing energy washes over one creature you can see within range. The target regains all its Hit Points. If the creature has the Charmed, Frightened, Paralyzed, Poisoned, or Stunned condition, the condition ends. If the creature has the Prone condition, it can use its Reaction to stand up_x000D_
#Bard #Cleric</v>
      </c>
      <c r="C264" t="str">
        <f t="shared" si="17"/>
        <v>level 9</v>
      </c>
      <c r="D264" s="1" t="s">
        <v>383</v>
      </c>
      <c r="E264" t="str">
        <f t="shared" si="18"/>
        <v>level 9</v>
      </c>
      <c r="F264" t="str">
        <f t="shared" si="19"/>
        <v>NULL</v>
      </c>
      <c r="G264" t="str">
        <f>_xlfn.TEXTJOIN(" ",TRUE,IF(IFERROR(MATCH(SUBSTITUTE(A264,".md",""),'Bard Spells'!A:A,0),0)&gt;0,"#Bard",""),IF(IFERROR(MATCH(SUBSTITUTE(A264,".md",""),'Cleric Spells'!A:A,0),0)&gt;0,"#Cleric",""),IF(IFERROR(MATCH(SUBSTITUTE(A264,".md",""),'Druid Spells'!A:A,0),0)&gt;0,"#Druid",""),IF(IFERROR(MATCH(SUBSTITUTE(A264,".md",""),'Paladin Spells'!A:A,0),0)&gt;0,"#Paladin",""),IF(IFERROR(MATCH(SUBSTITUTE(A264,".md",""),'Ranger Spells'!A:A,0),0)&gt;0,"#Ranger",""),IF(IFERROR(MATCH(SUBSTITUTE(A264,".md",""),'Sorcerer Spells'!A:A,0),0)&gt;0,"#Sorcerer",""),IF(IFERROR(MATCH(SUBSTITUTE(A264,".md",""),'Warlock Spells'!A:A,0),0)&gt;0,"#Warlock",""),IF(IFERROR(MATCH(SUBSTITUTE(A264,".md",""),'Wizard Spells'!A:A,0),0)&gt;0,"#Wizard",""))</f>
        <v>#Bard #Cleric</v>
      </c>
    </row>
    <row r="265" spans="1:7" ht="90" x14ac:dyDescent="0.25">
      <c r="A265" t="s">
        <v>384</v>
      </c>
      <c r="B265" s="1" t="str">
        <f t="shared" si="16"/>
        <v>level 9 - #enchantment Casting Time: Action Range: 60 feet Components: V Duration: Instantaneous 
You compel one creature you can see within range to die. If the target has 100 Hit Points or fewer, it dies. Otherwise, it takes 12d12 Psychic damage._x000D_
#Bard #Sorcerer #Warlock #Wizard</v>
      </c>
      <c r="C265" t="str">
        <f t="shared" si="17"/>
        <v>level 9</v>
      </c>
      <c r="D265" s="1" t="s">
        <v>385</v>
      </c>
      <c r="E265" t="str">
        <f t="shared" si="18"/>
        <v>level 9</v>
      </c>
      <c r="F265" t="str">
        <f t="shared" si="19"/>
        <v>NULL</v>
      </c>
      <c r="G265" t="str">
        <f>_xlfn.TEXTJOIN(" ",TRUE,IF(IFERROR(MATCH(SUBSTITUTE(A265,".md",""),'Bard Spells'!A:A,0),0)&gt;0,"#Bard",""),IF(IFERROR(MATCH(SUBSTITUTE(A265,".md",""),'Cleric Spells'!A:A,0),0)&gt;0,"#Cleric",""),IF(IFERROR(MATCH(SUBSTITUTE(A265,".md",""),'Druid Spells'!A:A,0),0)&gt;0,"#Druid",""),IF(IFERROR(MATCH(SUBSTITUTE(A265,".md",""),'Paladin Spells'!A:A,0),0)&gt;0,"#Paladin",""),IF(IFERROR(MATCH(SUBSTITUTE(A265,".md",""),'Ranger Spells'!A:A,0),0)&gt;0,"#Ranger",""),IF(IFERROR(MATCH(SUBSTITUTE(A265,".md",""),'Sorcerer Spells'!A:A,0),0)&gt;0,"#Sorcerer",""),IF(IFERROR(MATCH(SUBSTITUTE(A265,".md",""),'Warlock Spells'!A:A,0),0)&gt;0,"#Warlock",""),IF(IFERROR(MATCH(SUBSTITUTE(A265,".md",""),'Wizard Spells'!A:A,0),0)&gt;0,"#Wizard",""))</f>
        <v>#Bard #Sorcerer #Warlock #Wizard</v>
      </c>
    </row>
    <row r="266" spans="1:7" ht="105" x14ac:dyDescent="0.25">
      <c r="A266" t="s">
        <v>386</v>
      </c>
      <c r="B266" s="1" t="str">
        <f t="shared" si="16"/>
        <v>level 8 - #enchantment Casting Time: Action Range: 60 feet Components: V Duration: Instantaneous 
You overwhelm the mind of one creature you can see within range. If the target has 150 Hit Points or fewer, it has the Stunned condition. Otherwise, its Speed is 0 until the start of your next turn. 
The Stunned target makes a Constitution saving throw at the end of each of its turns, ending the condition on itself on a success._x000D_
#Bard #Sorcerer #Warlock #Wizard</v>
      </c>
      <c r="C266" t="str">
        <f t="shared" si="17"/>
        <v>level 8</v>
      </c>
      <c r="D266" s="1" t="s">
        <v>387</v>
      </c>
      <c r="E266" t="str">
        <f t="shared" si="18"/>
        <v>level 8</v>
      </c>
      <c r="F266" t="str">
        <f t="shared" si="19"/>
        <v>NULL</v>
      </c>
      <c r="G266" t="str">
        <f>_xlfn.TEXTJOIN(" ",TRUE,IF(IFERROR(MATCH(SUBSTITUTE(A266,".md",""),'Bard Spells'!A:A,0),0)&gt;0,"#Bard",""),IF(IFERROR(MATCH(SUBSTITUTE(A266,".md",""),'Cleric Spells'!A:A,0),0)&gt;0,"#Cleric",""),IF(IFERROR(MATCH(SUBSTITUTE(A266,".md",""),'Druid Spells'!A:A,0),0)&gt;0,"#Druid",""),IF(IFERROR(MATCH(SUBSTITUTE(A266,".md",""),'Paladin Spells'!A:A,0),0)&gt;0,"#Paladin",""),IF(IFERROR(MATCH(SUBSTITUTE(A266,".md",""),'Ranger Spells'!A:A,0),0)&gt;0,"#Ranger",""),IF(IFERROR(MATCH(SUBSTITUTE(A266,".md",""),'Sorcerer Spells'!A:A,0),0)&gt;0,"#Sorcerer",""),IF(IFERROR(MATCH(SUBSTITUTE(A266,".md",""),'Warlock Spells'!A:A,0),0)&gt;0,"#Warlock",""),IF(IFERROR(MATCH(SUBSTITUTE(A266,".md",""),'Wizard Spells'!A:A,0),0)&gt;0,"#Wizard",""))</f>
        <v>#Bard #Sorcerer #Warlock #Wizard</v>
      </c>
    </row>
    <row r="267" spans="1:7" ht="135" x14ac:dyDescent="0.25">
      <c r="A267" t="s">
        <v>388</v>
      </c>
      <c r="B267" s="1" t="str">
        <f t="shared" si="16"/>
        <v>level 2 - #abjuration Casting Time: 10 minutes Range: 30 feet Components: V Duration: Instantaneous 
Up to five creatures of your choice who remain within range for the spell's entire casting gain the benefits of a Short Rest and also regain 2d8 Hit Points. A creature can't be affected by this spell again until that creature finishes a Long Rest. 
Using a Higher-Level Spell Slot. The healing increases by 1d8 for each spell slot level above 2._x000D_
#Cleric #Paladin</v>
      </c>
      <c r="C267" t="str">
        <f t="shared" si="17"/>
        <v>level 2</v>
      </c>
      <c r="D267" s="1" t="s">
        <v>389</v>
      </c>
      <c r="E267" t="str">
        <f t="shared" si="18"/>
        <v>level 2</v>
      </c>
      <c r="F267" t="str">
        <f t="shared" si="19"/>
        <v>NULL</v>
      </c>
      <c r="G267" t="str">
        <f>_xlfn.TEXTJOIN(" ",TRUE,IF(IFERROR(MATCH(SUBSTITUTE(A267,".md",""),'Bard Spells'!A:A,0),0)&gt;0,"#Bard",""),IF(IFERROR(MATCH(SUBSTITUTE(A267,".md",""),'Cleric Spells'!A:A,0),0)&gt;0,"#Cleric",""),IF(IFERROR(MATCH(SUBSTITUTE(A267,".md",""),'Druid Spells'!A:A,0),0)&gt;0,"#Druid",""),IF(IFERROR(MATCH(SUBSTITUTE(A267,".md",""),'Paladin Spells'!A:A,0),0)&gt;0,"#Paladin",""),IF(IFERROR(MATCH(SUBSTITUTE(A267,".md",""),'Ranger Spells'!A:A,0),0)&gt;0,"#Ranger",""),IF(IFERROR(MATCH(SUBSTITUTE(A267,".md",""),'Sorcerer Spells'!A:A,0),0)&gt;0,"#Sorcerer",""),IF(IFERROR(MATCH(SUBSTITUTE(A267,".md",""),'Warlock Spells'!A:A,0),0)&gt;0,"#Warlock",""),IF(IFERROR(MATCH(SUBSTITUTE(A267,".md",""),'Wizard Spells'!A:A,0),0)&gt;0,"#Wizard",""))</f>
        <v>#Cleric #Paladin</v>
      </c>
    </row>
    <row r="268" spans="1:7" ht="165" x14ac:dyDescent="0.25">
      <c r="A268" t="s">
        <v>390</v>
      </c>
      <c r="B268" s="1" t="str">
        <f t="shared" si="16"/>
        <v>level 0 - #transmutation Casting Time: Action Range: 10 feet Components: V, S Duration: Up to 1 hour 
You create a magical effect within range. Choose the effect from the options below. If you cast this spell multiple times, you can have up to three of its non-instantaneous effects active at a time. 
**Sensory Effect**. You create an instantaneous, harmless sensory effect, such as a shower of sparks, a puff of wind, faint musical notes, or an odd odor. 
Fire Play. You instantaneously light or snuff out a candle, a torch, or a small campfire. Clean or Soil. You instantaneously clean or soil an object no larger than 1 cubic foot. 
Minor Sensation. You chill, warm, or flavor up to 1 cubic foot of nonliving material for 1 hour. 
Magic Mark. You make a color, a small mark, or a symbol appear on an object or a surface for 1 hour. 
**Minor Creation**. You create a nonmagical trinket or an illusory image that can fit in your hand. It lasts until the end of your next turn. A trinket can deal no damage and has no monetary worth._x000D_
#Bard #Sorcerer #Warlock #Wizard</v>
      </c>
      <c r="C268" t="str">
        <f t="shared" si="17"/>
        <v>level 0</v>
      </c>
      <c r="D268" s="1" t="s">
        <v>391</v>
      </c>
      <c r="E268" t="str">
        <f t="shared" si="18"/>
        <v>level 0</v>
      </c>
      <c r="F268" t="str">
        <f t="shared" si="19"/>
        <v>NULL</v>
      </c>
      <c r="G268" t="str">
        <f>_xlfn.TEXTJOIN(" ",TRUE,IF(IFERROR(MATCH(SUBSTITUTE(A268,".md",""),'Bard Spells'!A:A,0),0)&gt;0,"#Bard",""),IF(IFERROR(MATCH(SUBSTITUTE(A268,".md",""),'Cleric Spells'!A:A,0),0)&gt;0,"#Cleric",""),IF(IFERROR(MATCH(SUBSTITUTE(A268,".md",""),'Druid Spells'!A:A,0),0)&gt;0,"#Druid",""),IF(IFERROR(MATCH(SUBSTITUTE(A268,".md",""),'Paladin Spells'!A:A,0),0)&gt;0,"#Paladin",""),IF(IFERROR(MATCH(SUBSTITUTE(A268,".md",""),'Ranger Spells'!A:A,0),0)&gt;0,"#Ranger",""),IF(IFERROR(MATCH(SUBSTITUTE(A268,".md",""),'Sorcerer Spells'!A:A,0),0)&gt;0,"#Sorcerer",""),IF(IFERROR(MATCH(SUBSTITUTE(A268,".md",""),'Warlock Spells'!A:A,0),0)&gt;0,"#Warlock",""),IF(IFERROR(MATCH(SUBSTITUTE(A268,".md",""),'Wizard Spells'!A:A,0),0)&gt;0,"#Wizard",""))</f>
        <v>#Bard #Sorcerer #Warlock #Wizard</v>
      </c>
    </row>
    <row r="269" spans="1:7" ht="270" x14ac:dyDescent="0.25">
      <c r="A269" t="s">
        <v>392</v>
      </c>
      <c r="B269" s="1" t="str">
        <f t="shared" si="16"/>
        <v>level 7 - #evocation Casting Time: Action Range: Self Components: V, S Duration: Instantaneous 
Eight rays of light flash from you in a 60-foot Cone. Each creature in the Cone makes a Dexterity saving throw. For each target, roll 1d8 to determine which color ray affects it, consulting the Prismatic Rays table.
1d8 Ray 
1     Red. Failed Save: 12d6 Fire damage. Successful Save: Half as much damage. 
2     Orange. Failed Save: 12d6 Acid damage. Successful Save: Half as much damage. 
3 Yellow. Failed Save: 12d6 Lightning damage. Successful Save: Half as much damage. 
4    Green. Failed Save: 12d6 Poison damage. Successful Save: Half as much damage. 
5    Blue. Failed Save: 12d6 Cold damage. Successful Save: Half as much damage. 
6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7    Violet. Failed Save: The target has the Blinded condition and makes a Wisdom saving throw at the start of your next turn. On a Successful Save, the condition ends. On a Failed Save, the condition ends, and the creature teleports to another plane of existence (DM's choice). 
8    Special. The target is struck by two rays. Roll twice, rerolling any 8_x000D_
#Bard #Sorcerer #Wizard</v>
      </c>
      <c r="C269" t="str">
        <f t="shared" si="17"/>
        <v>level 7</v>
      </c>
      <c r="D269" s="1" t="s">
        <v>393</v>
      </c>
      <c r="E269" t="str">
        <f t="shared" si="18"/>
        <v>level 7</v>
      </c>
      <c r="F269" t="str">
        <f t="shared" si="19"/>
        <v>NULL</v>
      </c>
      <c r="G269" t="str">
        <f>_xlfn.TEXTJOIN(" ",TRUE,IF(IFERROR(MATCH(SUBSTITUTE(A269,".md",""),'Bard Spells'!A:A,0),0)&gt;0,"#Bard",""),IF(IFERROR(MATCH(SUBSTITUTE(A269,".md",""),'Cleric Spells'!A:A,0),0)&gt;0,"#Cleric",""),IF(IFERROR(MATCH(SUBSTITUTE(A269,".md",""),'Druid Spells'!A:A,0),0)&gt;0,"#Druid",""),IF(IFERROR(MATCH(SUBSTITUTE(A269,".md",""),'Paladin Spells'!A:A,0),0)&gt;0,"#Paladin",""),IF(IFERROR(MATCH(SUBSTITUTE(A269,".md",""),'Ranger Spells'!A:A,0),0)&gt;0,"#Ranger",""),IF(IFERROR(MATCH(SUBSTITUTE(A269,".md",""),'Sorcerer Spells'!A:A,0),0)&gt;0,"#Sorcerer",""),IF(IFERROR(MATCH(SUBSTITUTE(A269,".md",""),'Warlock Spells'!A:A,0),0)&gt;0,"#Warlock",""),IF(IFERROR(MATCH(SUBSTITUTE(A269,".md",""),'Wizard Spells'!A:A,0),0)&gt;0,"#Wizard",""))</f>
        <v>#Bard #Sorcerer #Wizard</v>
      </c>
    </row>
    <row r="270" spans="1:7" ht="409.5" x14ac:dyDescent="0.25">
      <c r="A270" t="s">
        <v>394</v>
      </c>
      <c r="B270" s="1" t="str">
        <f t="shared" si="16"/>
        <v>level 9 - #abjuration Casting Time: Action Range: 60 feet Components: V, S Duration: 10 minutes 
A shimmering, multicolored plane of light forms a vertical opaque wallâ€”up to 90 feet long, 30 feet high, and 1 inch thickâ€”centered on a point within range. Alternatively, you shape the wall into a globe up to 30 feet in diameter centered on a point within range. The wall lasts for the duration. If you position the wall in a space occupied by a creature, the spell ends instantly without effect. The wall sheds Bright Light within 100 feet and Dim Light for an additional 100 feet. You and creatures you designate when you cast the spell can pass through and be near the wall without harm. If another creature that can see the wall moves within 20 feet of it or starts its turn there, the creature must succeed on a Constitution saving throw or have the Blinded condition for 1 minute. 
The wall consists of seven layers, each with a different color. When a creature reaches into or passes through the wall, it does so one layer at a time through all the layers. Each layer forces the creature to make a Dexterity saving throw or be affected by that layer's properties as described in the Prismatic Layers table. 
The wall, which has AC 10, can be destroyed one layer at a time, in order from red to violet, by means specific to each layer. If a layer is destroyed, it is gone for the duration. Antimagic Field has no effect on the wall, and Dispel Magic can affect only the violet layer. 
| Order | Effects                                                                                                                                                                                                                                                                                                                                                                                                                                                                                                                                                                   |
| ----- | ------------------------------------------------------------------------------------------------------------------------------------------------------------------------------------------------------------------------------------------------------------------------------------------------------------------------------------------------------------------------------------------------------------------------------------------------------------------------------------------------------------------------------------------------------------------------- |
| 1     | **Red.** Failed Save: 12d6 Fire damage. Successful Save: Half as much damage. Additional Effects: Nonmagical ranged attacks can't pass through this layer, which is destroyed if it takes at least 25 Cold damage.                                                                                                                                                                                                                                                                                                                                                        |
| 2     | **Orange**. Failed Save: 12d6 Acid damage. Successful Save: Half as much damage. Additional Effects: Magical ranged attacks can't pass through this layer, which is destroyed by a strong wind (such as the one created by Gust of Wind).                                                                                                                                                                                                                                                                                                                                 |
| 3     | **Yellow**. Failed Save: 12d6 Lightning damage. Successful Save: Half as much damage. Additional Effects: The layer is destroyed if it takes at least 60 Force damage.                                                                                                                                                                                                                                                                                                                                                                                                    |
| 4     | **Green**. Failed Save: 12d6 Poison damage. Successful Save: Half as much damage. Additional Effects: A Passwall spell, or another spell of equal or greater level that can open a portal on a solid surface, destroys this layer.                                                                                                                                                                                                                                                                                                                                        |
| 5     | **Blue**. Failed Save: 12d6 Cold damage. Successful Save: Half as much damage. Additional Effects: The layer is destroyed if it takes at least 25 Fire damage.                                                                                                                                                                                                                                                                                                                                                                                                            |
| 6     |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Additional Effects: Spells can't be cast through this layer, which is destroyed by Bright Light shed by the Daylight spell. |
| 7     | **Violet**. Failed Save: The target has the Blinded condition and makes a Wisdom saving throw at the start of your next turn. On a Successful Save, the condition ends. On a Failed Save, the condition ends, and the creature teleports to another plane of existence (DM's choice). Additional Effects: This layer is destroyed by Dispel Magic.                                                                                                                                                                                                                        |
_x000D_
#Bard #Wizard</v>
      </c>
      <c r="C270" t="str">
        <f t="shared" si="17"/>
        <v>level 9</v>
      </c>
      <c r="D270" s="1" t="s">
        <v>395</v>
      </c>
      <c r="E270" t="str">
        <f t="shared" si="18"/>
        <v>level 9</v>
      </c>
      <c r="F270" t="str">
        <f t="shared" si="19"/>
        <v>NULL</v>
      </c>
      <c r="G270" t="str">
        <f>_xlfn.TEXTJOIN(" ",TRUE,IF(IFERROR(MATCH(SUBSTITUTE(A270,".md",""),'Bard Spells'!A:A,0),0)&gt;0,"#Bard",""),IF(IFERROR(MATCH(SUBSTITUTE(A270,".md",""),'Cleric Spells'!A:A,0),0)&gt;0,"#Cleric",""),IF(IFERROR(MATCH(SUBSTITUTE(A270,".md",""),'Druid Spells'!A:A,0),0)&gt;0,"#Druid",""),IF(IFERROR(MATCH(SUBSTITUTE(A270,".md",""),'Paladin Spells'!A:A,0),0)&gt;0,"#Paladin",""),IF(IFERROR(MATCH(SUBSTITUTE(A270,".md",""),'Ranger Spells'!A:A,0),0)&gt;0,"#Ranger",""),IF(IFERROR(MATCH(SUBSTITUTE(A270,".md",""),'Sorcerer Spells'!A:A,0),0)&gt;0,"#Sorcerer",""),IF(IFERROR(MATCH(SUBSTITUTE(A270,".md",""),'Warlock Spells'!A:A,0),0)&gt;0,"#Warlock",""),IF(IFERROR(MATCH(SUBSTITUTE(A270,".md",""),'Wizard Spells'!A:A,0),0)&gt;0,"#Wizard",""))</f>
        <v>#Bard #Wizard</v>
      </c>
    </row>
    <row r="271" spans="1:7" ht="150" x14ac:dyDescent="0.25">
      <c r="A271" t="s">
        <v>396</v>
      </c>
      <c r="B271" s="1" t="str">
        <f t="shared" si="16"/>
        <v>level 0 - #conjuration Casting Time: #BonusAction Range: Self Components: V, S Duration: 10 minutes 
A flickering flame appears in your hand and remains there for the duration. While there, the flame emits no heat and ignites nothing, and it sheds Bright Light in a 20-foot radius and Dim Light for an additional 20 feet. The spell ends if you cast it again. 
Until the spell ends, you can take a Magic action to hurl fire at a creature or an object within 60 feet of you. Make a ranged spell attack. On a hit, the target takes 1d8 Fire damage. 
Cantrip Upgrade. The damage increases by 1d8 when you reach levels 5 (2d8), 11 (3d8), and 17 (4d8)._x000D_
#Druid</v>
      </c>
      <c r="C271" t="str">
        <f t="shared" si="17"/>
        <v>level 0</v>
      </c>
      <c r="D271" s="1" t="s">
        <v>1176</v>
      </c>
      <c r="E271" t="str">
        <f t="shared" si="18"/>
        <v>level 0</v>
      </c>
      <c r="F271" t="str">
        <f t="shared" si="19"/>
        <v>NULL</v>
      </c>
      <c r="G271" t="str">
        <f>_xlfn.TEXTJOIN(" ",TRUE,IF(IFERROR(MATCH(SUBSTITUTE(A271,".md",""),'Bard Spells'!A:A,0),0)&gt;0,"#Bard",""),IF(IFERROR(MATCH(SUBSTITUTE(A271,".md",""),'Cleric Spells'!A:A,0),0)&gt;0,"#Cleric",""),IF(IFERROR(MATCH(SUBSTITUTE(A271,".md",""),'Druid Spells'!A:A,0),0)&gt;0,"#Druid",""),IF(IFERROR(MATCH(SUBSTITUTE(A271,".md",""),'Paladin Spells'!A:A,0),0)&gt;0,"#Paladin",""),IF(IFERROR(MATCH(SUBSTITUTE(A271,".md",""),'Ranger Spells'!A:A,0),0)&gt;0,"#Ranger",""),IF(IFERROR(MATCH(SUBSTITUTE(A271,".md",""),'Sorcerer Spells'!A:A,0),0)&gt;0,"#Sorcerer",""),IF(IFERROR(MATCH(SUBSTITUTE(A271,".md",""),'Warlock Spells'!A:A,0),0)&gt;0,"#Warlock",""),IF(IFERROR(MATCH(SUBSTITUTE(A271,".md",""),'Wizard Spells'!A:A,0),0)&gt;0,"#Wizard",""))</f>
        <v>#Druid</v>
      </c>
    </row>
    <row r="272" spans="1:7" ht="180" x14ac:dyDescent="0.25">
      <c r="A272" t="s">
        <v>397</v>
      </c>
      <c r="B272" s="1" t="str">
        <f t="shared" si="16"/>
        <v>level 6 - #illusion Casting Time: Action Range: 120 feet Components: V, S, M (jade dust worth 25+ GP) Duration: Until dispelled 
You create an illusion of an object, a creature, or some other visible phenomenon within range that activates when a specific trigger occurs. The illusion is imperceptible until then. It must be no larger than a 30-foot Cube, and you decide when you cast the spell how the illusion behaves and what sounds it makes. This scripted performance can last up to 5 minutes.
When the trigger you specify occurs, the illusion springs into existence and performs in the manner you described. Once the illusion finishes performing, it disappears and remains dormant for 10 minutes, after which the illusion can be activated again. The trigger can be as general or as detailed as you like, though it must be based on visual or audible phenomena that occur within 30 feet of the area. For example, you could create an illusion of yourself to appear and warn off others who attempt to open a trapped door.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#Bard #Wizard</v>
      </c>
      <c r="C272" t="str">
        <f t="shared" si="17"/>
        <v>level 6</v>
      </c>
      <c r="D272" s="1" t="s">
        <v>398</v>
      </c>
      <c r="E272" t="str">
        <f t="shared" si="18"/>
        <v>level 6</v>
      </c>
      <c r="F272" t="str">
        <f t="shared" si="19"/>
        <v>NULL</v>
      </c>
      <c r="G272" t="str">
        <f>_xlfn.TEXTJOIN(" ",TRUE,IF(IFERROR(MATCH(SUBSTITUTE(A272,".md",""),'Bard Spells'!A:A,0),0)&gt;0,"#Bard",""),IF(IFERROR(MATCH(SUBSTITUTE(A272,".md",""),'Cleric Spells'!A:A,0),0)&gt;0,"#Cleric",""),IF(IFERROR(MATCH(SUBSTITUTE(A272,".md",""),'Druid Spells'!A:A,0),0)&gt;0,"#Druid",""),IF(IFERROR(MATCH(SUBSTITUTE(A272,".md",""),'Paladin Spells'!A:A,0),0)&gt;0,"#Paladin",""),IF(IFERROR(MATCH(SUBSTITUTE(A272,".md",""),'Ranger Spells'!A:A,0),0)&gt;0,"#Ranger",""),IF(IFERROR(MATCH(SUBSTITUTE(A272,".md",""),'Sorcerer Spells'!A:A,0),0)&gt;0,"#Sorcerer",""),IF(IFERROR(MATCH(SUBSTITUTE(A272,".md",""),'Warlock Spells'!A:A,0),0)&gt;0,"#Warlock",""),IF(IFERROR(MATCH(SUBSTITUTE(A272,".md",""),'Wizard Spells'!A:A,0),0)&gt;0,"#Wizard",""))</f>
        <v>#Bard #Wizard</v>
      </c>
    </row>
    <row r="273" spans="1:7" ht="165" x14ac:dyDescent="0.25">
      <c r="A273" t="s">
        <v>399</v>
      </c>
      <c r="B273" s="1" t="str">
        <f t="shared" si="16"/>
        <v>level 7 - #illusion Casting Time: Action Range: 500 miles Components: V, S, M (a statuette of yourself worth 5+ GP) Duration: #Concentration, up to 1 day 
You create an illusory copy of yourself that lasts for the duration. The copy can appear at any location within range that you have seen before, regardless of intervening obstacles. The illusion looks and sounds like you, but it is intangible. If the illusion takes any damage, it disappears, and the spell ends. 
You can see through the illusion's eyes and hear through its ears as if you were in its space. As a Magic action, you can move it up to 60 feet and make it gesture, speak, and behave in whatever way you choose. It mimics your mannerisms perfectly.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#Bard #Wizard</v>
      </c>
      <c r="C273" t="str">
        <f t="shared" si="17"/>
        <v>level 7</v>
      </c>
      <c r="D273" s="1" t="s">
        <v>400</v>
      </c>
      <c r="E273" t="str">
        <f t="shared" si="18"/>
        <v>level 7</v>
      </c>
      <c r="F273" t="str">
        <f t="shared" si="19"/>
        <v>NULL</v>
      </c>
      <c r="G273" t="str">
        <f>_xlfn.TEXTJOIN(" ",TRUE,IF(IFERROR(MATCH(SUBSTITUTE(A273,".md",""),'Bard Spells'!A:A,0),0)&gt;0,"#Bard",""),IF(IFERROR(MATCH(SUBSTITUTE(A273,".md",""),'Cleric Spells'!A:A,0),0)&gt;0,"#Cleric",""),IF(IFERROR(MATCH(SUBSTITUTE(A273,".md",""),'Druid Spells'!A:A,0),0)&gt;0,"#Druid",""),IF(IFERROR(MATCH(SUBSTITUTE(A273,".md",""),'Paladin Spells'!A:A,0),0)&gt;0,"#Paladin",""),IF(IFERROR(MATCH(SUBSTITUTE(A273,".md",""),'Ranger Spells'!A:A,0),0)&gt;0,"#Ranger",""),IF(IFERROR(MATCH(SUBSTITUTE(A273,".md",""),'Sorcerer Spells'!A:A,0),0)&gt;0,"#Sorcerer",""),IF(IFERROR(MATCH(SUBSTITUTE(A273,".md",""),'Warlock Spells'!A:A,0),0)&gt;0,"#Warlock",""),IF(IFERROR(MATCH(SUBSTITUTE(A273,".md",""),'Wizard Spells'!A:A,0),0)&gt;0,"#Wizard",""))</f>
        <v>#Bard #Wizard</v>
      </c>
    </row>
    <row r="274" spans="1:7" ht="90" x14ac:dyDescent="0.25">
      <c r="A274" t="s">
        <v>401</v>
      </c>
      <c r="B274" s="1" t="str">
        <f t="shared" si="16"/>
        <v>level 3 - #abjuration Casting Time: Action Range: Touch Components: V, S Duration: #Concentration, up to 1 hour 
For the duration, the willing creature you touch has Resistance to one damage type of your choice: Acid, Cold, Fire, Lightning, or Thunder_x000D_
#Cleric #Druid #Ranger #Sorcerer #Wizard</v>
      </c>
      <c r="C274" t="str">
        <f t="shared" si="17"/>
        <v>level 3</v>
      </c>
      <c r="D274" s="1" t="s">
        <v>402</v>
      </c>
      <c r="E274" t="str">
        <f t="shared" si="18"/>
        <v>level 3</v>
      </c>
      <c r="F274" t="str">
        <f t="shared" si="19"/>
        <v>NULL</v>
      </c>
      <c r="G274" t="str">
        <f>_xlfn.TEXTJOIN(" ",TRUE,IF(IFERROR(MATCH(SUBSTITUTE(A274,".md",""),'Bard Spells'!A:A,0),0)&gt;0,"#Bard",""),IF(IFERROR(MATCH(SUBSTITUTE(A274,".md",""),'Cleric Spells'!A:A,0),0)&gt;0,"#Cleric",""),IF(IFERROR(MATCH(SUBSTITUTE(A274,".md",""),'Druid Spells'!A:A,0),0)&gt;0,"#Druid",""),IF(IFERROR(MATCH(SUBSTITUTE(A274,".md",""),'Paladin Spells'!A:A,0),0)&gt;0,"#Paladin",""),IF(IFERROR(MATCH(SUBSTITUTE(A274,".md",""),'Ranger Spells'!A:A,0),0)&gt;0,"#Ranger",""),IF(IFERROR(MATCH(SUBSTITUTE(A274,".md",""),'Sorcerer Spells'!A:A,0),0)&gt;0,"#Sorcerer",""),IF(IFERROR(MATCH(SUBSTITUTE(A274,".md",""),'Warlock Spells'!A:A,0),0)&gt;0,"#Warlock",""),IF(IFERROR(MATCH(SUBSTITUTE(A274,".md",""),'Wizard Spells'!A:A,0),0)&gt;0,"#Wizard",""))</f>
        <v>#Cleric #Druid #Ranger #Sorcerer #Wizard</v>
      </c>
    </row>
    <row r="275" spans="1:7" ht="120" x14ac:dyDescent="0.25">
      <c r="A275" t="s">
        <v>403</v>
      </c>
      <c r="B275" s="1" t="str">
        <f t="shared" si="16"/>
        <v>level 1 - #abjuration Casting Time: Action Range: Touch Components: V, S, M (a flask of Holy Water worth 25+ GP, which the spell consumes) Duration: #Concentration, up to 10 minutes 
Until the spell ends, one willing creature you touch is protected against creatures that are Aberrations, Celestials, Elementals, Fey, Fiends, or Undead. The protection grants several benefits. Creatures of those types have Disadvantage on attack rolls against the target. The target also can't be possessed by or gain the Charmed or Frightened conditions from them. If the target is already possessed, Charmed, or Frightened by such a creature, the target has Advantage on any new saving throw against the relevant effect._x000D_
#Cleric #Druid #Paladin #Warlock #Wizard</v>
      </c>
      <c r="C275" t="str">
        <f t="shared" si="17"/>
        <v>level 1</v>
      </c>
      <c r="D275" s="1" t="s">
        <v>404</v>
      </c>
      <c r="E275" t="str">
        <f t="shared" si="18"/>
        <v>level 1</v>
      </c>
      <c r="F275" t="str">
        <f t="shared" si="19"/>
        <v>NULL</v>
      </c>
      <c r="G275" t="str">
        <f>_xlfn.TEXTJOIN(" ",TRUE,IF(IFERROR(MATCH(SUBSTITUTE(A275,".md",""),'Bard Spells'!A:A,0),0)&gt;0,"#Bard",""),IF(IFERROR(MATCH(SUBSTITUTE(A275,".md",""),'Cleric Spells'!A:A,0),0)&gt;0,"#Cleric",""),IF(IFERROR(MATCH(SUBSTITUTE(A275,".md",""),'Druid Spells'!A:A,0),0)&gt;0,"#Druid",""),IF(IFERROR(MATCH(SUBSTITUTE(A275,".md",""),'Paladin Spells'!A:A,0),0)&gt;0,"#Paladin",""),IF(IFERROR(MATCH(SUBSTITUTE(A275,".md",""),'Ranger Spells'!A:A,0),0)&gt;0,"#Ranger",""),IF(IFERROR(MATCH(SUBSTITUTE(A275,".md",""),'Sorcerer Spells'!A:A,0),0)&gt;0,"#Sorcerer",""),IF(IFERROR(MATCH(SUBSTITUTE(A275,".md",""),'Warlock Spells'!A:A,0),0)&gt;0,"#Warlock",""),IF(IFERROR(MATCH(SUBSTITUTE(A275,".md",""),'Wizard Spells'!A:A,0),0)&gt;0,"#Wizard",""))</f>
        <v>#Cleric #Druid #Paladin #Warlock #Wizard</v>
      </c>
    </row>
    <row r="276" spans="1:7" ht="90" x14ac:dyDescent="0.25">
      <c r="A276" t="s">
        <v>405</v>
      </c>
      <c r="B276" s="1" t="str">
        <f t="shared" si="16"/>
        <v>level 2 - #abjuration Casting Time: Action Range: Touch Components: V, S Duration: 1 hour 
You touch a creature and end the Poisoned condition on it. For the duration, the target has Advantage on saving throws to avoid or end the Poisoned condition, and it has Resistance to Poison damage._x000D_
#Cleric #Druid #Paladin #Ranger</v>
      </c>
      <c r="C276" t="str">
        <f t="shared" si="17"/>
        <v>level 2</v>
      </c>
      <c r="D276" s="1" t="s">
        <v>406</v>
      </c>
      <c r="E276" t="str">
        <f t="shared" si="18"/>
        <v>level 2</v>
      </c>
      <c r="F276" t="str">
        <f t="shared" si="19"/>
        <v>NULL</v>
      </c>
      <c r="G276" t="str">
        <f>_xlfn.TEXTJOIN(" ",TRUE,IF(IFERROR(MATCH(SUBSTITUTE(A276,".md",""),'Bard Spells'!A:A,0),0)&gt;0,"#Bard",""),IF(IFERROR(MATCH(SUBSTITUTE(A276,".md",""),'Cleric Spells'!A:A,0),0)&gt;0,"#Cleric",""),IF(IFERROR(MATCH(SUBSTITUTE(A276,".md",""),'Druid Spells'!A:A,0),0)&gt;0,"#Druid",""),IF(IFERROR(MATCH(SUBSTITUTE(A276,".md",""),'Paladin Spells'!A:A,0),0)&gt;0,"#Paladin",""),IF(IFERROR(MATCH(SUBSTITUTE(A276,".md",""),'Ranger Spells'!A:A,0),0)&gt;0,"#Ranger",""),IF(IFERROR(MATCH(SUBSTITUTE(A276,".md",""),'Sorcerer Spells'!A:A,0),0)&gt;0,"#Sorcerer",""),IF(IFERROR(MATCH(SUBSTITUTE(A276,".md",""),'Warlock Spells'!A:A,0),0)&gt;0,"#Warlock",""),IF(IFERROR(MATCH(SUBSTITUTE(A276,".md",""),'Wizard Spells'!A:A,0),0)&gt;0,"#Wizard",""))</f>
        <v>#Cleric #Druid #Paladin #Ranger</v>
      </c>
    </row>
    <row r="277" spans="1:7" ht="90" x14ac:dyDescent="0.25">
      <c r="A277" t="s">
        <v>407</v>
      </c>
      <c r="B277" s="1" t="str">
        <f t="shared" si="16"/>
        <v>level 1 - #transmutation ( #ritual ) Casting Time: Action or Ritual Range: 10 feet Components: V, S Duration: Instantaneous 
You remove poison and rot from nonmagical food and drink in a 5- foot-radius Sphere centered on a point within range_x000D_
#Cleric #Druid #Paladin</v>
      </c>
      <c r="C277" t="str">
        <f t="shared" si="17"/>
        <v>level 1</v>
      </c>
      <c r="D277" s="1" t="s">
        <v>655</v>
      </c>
      <c r="E277" t="str">
        <f t="shared" si="18"/>
        <v>level 1</v>
      </c>
      <c r="F277" t="str">
        <f t="shared" si="19"/>
        <v>NULL</v>
      </c>
      <c r="G277" t="str">
        <f>_xlfn.TEXTJOIN(" ",TRUE,IF(IFERROR(MATCH(SUBSTITUTE(A277,".md",""),'Bard Spells'!A:A,0),0)&gt;0,"#Bard",""),IF(IFERROR(MATCH(SUBSTITUTE(A277,".md",""),'Cleric Spells'!A:A,0),0)&gt;0,"#Cleric",""),IF(IFERROR(MATCH(SUBSTITUTE(A277,".md",""),'Druid Spells'!A:A,0),0)&gt;0,"#Druid",""),IF(IFERROR(MATCH(SUBSTITUTE(A277,".md",""),'Paladin Spells'!A:A,0),0)&gt;0,"#Paladin",""),IF(IFERROR(MATCH(SUBSTITUTE(A277,".md",""),'Ranger Spells'!A:A,0),0)&gt;0,"#Ranger",""),IF(IFERROR(MATCH(SUBSTITUTE(A277,".md",""),'Sorcerer Spells'!A:A,0),0)&gt;0,"#Sorcerer",""),IF(IFERROR(MATCH(SUBSTITUTE(A277,".md",""),'Warlock Spells'!A:A,0),0)&gt;0,"#Warlock",""),IF(IFERROR(MATCH(SUBSTITUTE(A277,".md",""),'Wizard Spells'!A:A,0),0)&gt;0,"#Wizard",""))</f>
        <v>#Cleric #Druid #Paladin</v>
      </c>
    </row>
    <row r="278" spans="1:7" ht="135" x14ac:dyDescent="0.25">
      <c r="A278" t="s">
        <v>408</v>
      </c>
      <c r="B278" s="1" t="str">
        <f t="shared" si="16"/>
        <v>level 5 - #necromancy Casting Time: 1 hour Range: Touch Components: V, S, M (a diamond worth 500+ GP, which the spell consumes) Duration: Instantaneous 
With a touch, you revive a dead creature if it has been dead no longer than 10 days and it wasn't Undead when it died. The creature returns to life with 1 Hit Point. This spell also neutralizes any poisons that affected the creature at the time of death. 
This spell closes all mortal wounds, but it doesn't restore missing body parts. If the creature is lacking body parts or organs integral for its survivalâ€”its head, for instanceâ€”the spell automatically fails. Coming back from the dead is an ordeal. The target takes a âˆ’4 penalty to D20 Tests. Every time the target finishes a Long Rest, the penalty is reduced by 1 until it becomes 0_x000D_
#Bard #Cleric #Paladin</v>
      </c>
      <c r="C278" t="str">
        <f t="shared" si="17"/>
        <v>level 5</v>
      </c>
      <c r="D278" s="1" t="s">
        <v>409</v>
      </c>
      <c r="E278" t="str">
        <f t="shared" si="18"/>
        <v>level 5</v>
      </c>
      <c r="F278" t="str">
        <f t="shared" si="19"/>
        <v>NULL</v>
      </c>
      <c r="G278" t="str">
        <f>_xlfn.TEXTJOIN(" ",TRUE,IF(IFERROR(MATCH(SUBSTITUTE(A278,".md",""),'Bard Spells'!A:A,0),0)&gt;0,"#Bard",""),IF(IFERROR(MATCH(SUBSTITUTE(A278,".md",""),'Cleric Spells'!A:A,0),0)&gt;0,"#Cleric",""),IF(IFERROR(MATCH(SUBSTITUTE(A278,".md",""),'Druid Spells'!A:A,0),0)&gt;0,"#Druid",""),IF(IFERROR(MATCH(SUBSTITUTE(A278,".md",""),'Paladin Spells'!A:A,0),0)&gt;0,"#Paladin",""),IF(IFERROR(MATCH(SUBSTITUTE(A278,".md",""),'Ranger Spells'!A:A,0),0)&gt;0,"#Ranger",""),IF(IFERROR(MATCH(SUBSTITUTE(A278,".md",""),'Sorcerer Spells'!A:A,0),0)&gt;0,"#Sorcerer",""),IF(IFERROR(MATCH(SUBSTITUTE(A278,".md",""),'Warlock Spells'!A:A,0),0)&gt;0,"#Warlock",""),IF(IFERROR(MATCH(SUBSTITUTE(A278,".md",""),'Wizard Spells'!A:A,0),0)&gt;0,"#Wizard",""))</f>
        <v>#Bard #Cleric #Paladin</v>
      </c>
    </row>
    <row r="279" spans="1:7" ht="90" x14ac:dyDescent="0.25">
      <c r="A279" t="s">
        <v>410</v>
      </c>
      <c r="B279" s="1" t="str">
        <f t="shared" si="16"/>
        <v>level 5 - #divination ( #ritual ) Casting Time: Action or Ritual Range: 30 feet Components: V, S, M (two eggs) Duration: 1 hour 
Description not available (not OGL)_x000D_
#Bard #Wizard</v>
      </c>
      <c r="C279" t="str">
        <f t="shared" si="17"/>
        <v>level 5</v>
      </c>
      <c r="D279" s="1" t="s">
        <v>656</v>
      </c>
      <c r="E279" t="str">
        <f t="shared" si="18"/>
        <v>level 5</v>
      </c>
      <c r="F279" t="str">
        <f t="shared" si="19"/>
        <v>NULL</v>
      </c>
      <c r="G279" t="str">
        <f>_xlfn.TEXTJOIN(" ",TRUE,IF(IFERROR(MATCH(SUBSTITUTE(A279,".md",""),'Bard Spells'!A:A,0),0)&gt;0,"#Bard",""),IF(IFERROR(MATCH(SUBSTITUTE(A279,".md",""),'Cleric Spells'!A:A,0),0)&gt;0,"#Cleric",""),IF(IFERROR(MATCH(SUBSTITUTE(A279,".md",""),'Druid Spells'!A:A,0),0)&gt;0,"#Druid",""),IF(IFERROR(MATCH(SUBSTITUTE(A279,".md",""),'Paladin Spells'!A:A,0),0)&gt;0,"#Paladin",""),IF(IFERROR(MATCH(SUBSTITUTE(A279,".md",""),'Ranger Spells'!A:A,0),0)&gt;0,"#Ranger",""),IF(IFERROR(MATCH(SUBSTITUTE(A279,".md",""),'Sorcerer Spells'!A:A,0),0)&gt;0,"#Sorcerer",""),IF(IFERROR(MATCH(SUBSTITUTE(A279,".md",""),'Warlock Spells'!A:A,0),0)&gt;0,"#Warlock",""),IF(IFERROR(MATCH(SUBSTITUTE(A279,".md",""),'Wizard Spells'!A:A,0),0)&gt;0,"#Wizard",""))</f>
        <v>#Bard #Wizard</v>
      </c>
    </row>
    <row r="280" spans="1:7" ht="135" x14ac:dyDescent="0.25">
      <c r="A280" t="s">
        <v>411</v>
      </c>
      <c r="B280" s="1" t="str">
        <f t="shared" si="16"/>
        <v>level 2 - #necromancy Casting Time: Action Range: 60 feet Components: V, S Duration: #Concentration, up to 1 minute 
A beam of enervating energy shoots from you toward a creature within range. The target must make a Constitution saving throw. On a successful save, the target has Disadvantage on the next attack roll it makes until the start of your next turn. 
On a failed save, the target has Disadvantage on Strength-based D20 Tests for the duration. During that time, it also subtracts 1d8 from all its damage rolls. The target repeats the save at the end of each of its turns, ending the spell on a success._x000D_
#Warlock #Wizard</v>
      </c>
      <c r="C280" t="str">
        <f t="shared" si="17"/>
        <v>level 2</v>
      </c>
      <c r="D280" s="1" t="s">
        <v>412</v>
      </c>
      <c r="E280" t="str">
        <f t="shared" si="18"/>
        <v>level 2</v>
      </c>
      <c r="F280" t="str">
        <f t="shared" si="19"/>
        <v>NULL</v>
      </c>
      <c r="G280" t="str">
        <f>_xlfn.TEXTJOIN(" ",TRUE,IF(IFERROR(MATCH(SUBSTITUTE(A280,".md",""),'Bard Spells'!A:A,0),0)&gt;0,"#Bard",""),IF(IFERROR(MATCH(SUBSTITUTE(A280,".md",""),'Cleric Spells'!A:A,0),0)&gt;0,"#Cleric",""),IF(IFERROR(MATCH(SUBSTITUTE(A280,".md",""),'Druid Spells'!A:A,0),0)&gt;0,"#Druid",""),IF(IFERROR(MATCH(SUBSTITUTE(A280,".md",""),'Paladin Spells'!A:A,0),0)&gt;0,"#Paladin",""),IF(IFERROR(MATCH(SUBSTITUTE(A280,".md",""),'Ranger Spells'!A:A,0),0)&gt;0,"#Ranger",""),IF(IFERROR(MATCH(SUBSTITUTE(A280,".md",""),'Sorcerer Spells'!A:A,0),0)&gt;0,"#Sorcerer",""),IF(IFERROR(MATCH(SUBSTITUTE(A280,".md",""),'Warlock Spells'!A:A,0),0)&gt;0,"#Warlock",""),IF(IFERROR(MATCH(SUBSTITUTE(A280,".md",""),'Wizard Spells'!A:A,0),0)&gt;0,"#Wizard",""))</f>
        <v>#Warlock #Wizard</v>
      </c>
    </row>
    <row r="281" spans="1:7" ht="135" x14ac:dyDescent="0.25">
      <c r="A281" t="s">
        <v>413</v>
      </c>
      <c r="B281" s="1" t="str">
        <f t="shared" si="16"/>
        <v>level 0 - #evocation Casting Time: Action Range: 60 feet Components: V, S Duration: Instantaneous 
A frigid beam of blue-white light streaks toward a creature within range. Make a ranged spell attack against the target. On a hit, it takes 1d8 Cold damage, and its Speed is reduced by 10 feet until the start of your next turn. 
Cantrip Upgrade. The damage increases by 1d8 when you reach levels 5 (2d8), 11 (3d8), and 17 (4d8)._x000D_
#Sorcerer #Wizard</v>
      </c>
      <c r="C281" t="str">
        <f t="shared" si="17"/>
        <v>level 0</v>
      </c>
      <c r="D281" s="1" t="s">
        <v>414</v>
      </c>
      <c r="E281" t="str">
        <f t="shared" si="18"/>
        <v>level 0</v>
      </c>
      <c r="F281" t="str">
        <f t="shared" si="19"/>
        <v>NULL</v>
      </c>
      <c r="G281" t="str">
        <f>_xlfn.TEXTJOIN(" ",TRUE,IF(IFERROR(MATCH(SUBSTITUTE(A281,".md",""),'Bard Spells'!A:A,0),0)&gt;0,"#Bard",""),IF(IFERROR(MATCH(SUBSTITUTE(A281,".md",""),'Cleric Spells'!A:A,0),0)&gt;0,"#Cleric",""),IF(IFERROR(MATCH(SUBSTITUTE(A281,".md",""),'Druid Spells'!A:A,0),0)&gt;0,"#Druid",""),IF(IFERROR(MATCH(SUBSTITUTE(A281,".md",""),'Paladin Spells'!A:A,0),0)&gt;0,"#Paladin",""),IF(IFERROR(MATCH(SUBSTITUTE(A281,".md",""),'Ranger Spells'!A:A,0),0)&gt;0,"#Ranger",""),IF(IFERROR(MATCH(SUBSTITUTE(A281,".md",""),'Sorcerer Spells'!A:A,0),0)&gt;0,"#Sorcerer",""),IF(IFERROR(MATCH(SUBSTITUTE(A281,".md",""),'Warlock Spells'!A:A,0),0)&gt;0,"#Warlock",""),IF(IFERROR(MATCH(SUBSTITUTE(A281,".md",""),'Wizard Spells'!A:A,0),0)&gt;0,"#Wizard",""))</f>
        <v>#Sorcerer #Wizard</v>
      </c>
    </row>
    <row r="282" spans="1:7" ht="120" x14ac:dyDescent="0.25">
      <c r="A282" t="s">
        <v>415</v>
      </c>
      <c r="B282" s="1" t="str">
        <f t="shared" si="16"/>
        <v>level 1 - #necromancy Casting Time: Action Range: 60 feet Components: V, S Duration: Instantaneous 
You shoot a greenish ray at a creature within range. Make a ranged spell attack against the target. On a hit, the target takes 2d8 Poison damage and has the Poisoned condition until the end of your next turn. 
Using a Higher-Level Spell Slot. The damage increases by 1d8 for each spell slot level above 1_x000D_
#Sorcerer #Wizard</v>
      </c>
      <c r="C282" t="str">
        <f t="shared" si="17"/>
        <v>level 1</v>
      </c>
      <c r="D282" s="1" t="s">
        <v>416</v>
      </c>
      <c r="E282" t="str">
        <f t="shared" si="18"/>
        <v>level 1</v>
      </c>
      <c r="F282" t="str">
        <f t="shared" si="19"/>
        <v>NULL</v>
      </c>
      <c r="G282" t="str">
        <f>_xlfn.TEXTJOIN(" ",TRUE,IF(IFERROR(MATCH(SUBSTITUTE(A282,".md",""),'Bard Spells'!A:A,0),0)&gt;0,"#Bard",""),IF(IFERROR(MATCH(SUBSTITUTE(A282,".md",""),'Cleric Spells'!A:A,0),0)&gt;0,"#Cleric",""),IF(IFERROR(MATCH(SUBSTITUTE(A282,".md",""),'Druid Spells'!A:A,0),0)&gt;0,"#Druid",""),IF(IFERROR(MATCH(SUBSTITUTE(A282,".md",""),'Paladin Spells'!A:A,0),0)&gt;0,"#Paladin",""),IF(IFERROR(MATCH(SUBSTITUTE(A282,".md",""),'Ranger Spells'!A:A,0),0)&gt;0,"#Ranger",""),IF(IFERROR(MATCH(SUBSTITUTE(A282,".md",""),'Sorcerer Spells'!A:A,0),0)&gt;0,"#Sorcerer",""),IF(IFERROR(MATCH(SUBSTITUTE(A282,".md",""),'Warlock Spells'!A:A,0),0)&gt;0,"#Warlock",""),IF(IFERROR(MATCH(SUBSTITUTE(A282,".md",""),'Wizard Spells'!A:A,0),0)&gt;0,"#Wizard",""))</f>
        <v>#Sorcerer #Wizard</v>
      </c>
    </row>
    <row r="283" spans="1:7" ht="90" x14ac:dyDescent="0.25">
      <c r="A283" t="s">
        <v>417</v>
      </c>
      <c r="B283" s="1" t="str">
        <f t="shared" si="16"/>
        <v>level 7 - #transmutation Casting Time: 1 minute Range: Touch Components: V, S, M (a prayer wheel) Duration: 1 hour 
A creature you touch regains 4d8 + 15 Hit Points. For the duration, the target regains 1 Hit Point at the start of each of its turns, and any severed body parts regrow after 2 minutes._x000D_
#Bard #Cleric #Druid</v>
      </c>
      <c r="C283" t="str">
        <f t="shared" si="17"/>
        <v>level 7</v>
      </c>
      <c r="D283" s="1" t="s">
        <v>418</v>
      </c>
      <c r="E283" t="str">
        <f t="shared" si="18"/>
        <v>level 7</v>
      </c>
      <c r="F283" t="str">
        <f t="shared" si="19"/>
        <v>NULL</v>
      </c>
      <c r="G283" t="str">
        <f>_xlfn.TEXTJOIN(" ",TRUE,IF(IFERROR(MATCH(SUBSTITUTE(A283,".md",""),'Bard Spells'!A:A,0),0)&gt;0,"#Bard",""),IF(IFERROR(MATCH(SUBSTITUTE(A283,".md",""),'Cleric Spells'!A:A,0),0)&gt;0,"#Cleric",""),IF(IFERROR(MATCH(SUBSTITUTE(A283,".md",""),'Druid Spells'!A:A,0),0)&gt;0,"#Druid",""),IF(IFERROR(MATCH(SUBSTITUTE(A283,".md",""),'Paladin Spells'!A:A,0),0)&gt;0,"#Paladin",""),IF(IFERROR(MATCH(SUBSTITUTE(A283,".md",""),'Ranger Spells'!A:A,0),0)&gt;0,"#Ranger",""),IF(IFERROR(MATCH(SUBSTITUTE(A283,".md",""),'Sorcerer Spells'!A:A,0),0)&gt;0,"#Sorcerer",""),IF(IFERROR(MATCH(SUBSTITUTE(A283,".md",""),'Warlock Spells'!A:A,0),0)&gt;0,"#Warlock",""),IF(IFERROR(MATCH(SUBSTITUTE(A283,".md",""),'Wizard Spells'!A:A,0),0)&gt;0,"#Wizard",""))</f>
        <v>#Bard #Cleric #Druid</v>
      </c>
    </row>
    <row r="284" spans="1:7" ht="345" x14ac:dyDescent="0.25">
      <c r="A284" t="s">
        <v>419</v>
      </c>
      <c r="B284" s="1" t="str">
        <f t="shared" si="16"/>
        <v>level 5 - #necromancy Casting Time: 1 hour Range: Touch Components: V, S, M (rare oils worth 1,000+ GP, which the spell consumes) Duration: Instantaneous 
You touch a dead Humanoid or a piece of one. If the creature has been dead no longer than 10 days, the spell forms a new body for it and calls the soul to enter that body. Roll 1d10 and consult the table below to determine the bodyâ€™s species, or the DM chooses another playable species. 
| 1d10 | Species    |
| ---- | ---------- |
| 1    | Aasimar    |
| 2    | Dragonborn |
| 3    | Dwarf      |
| 4    | Elf        |
| 5    | Gnome      |
| 6    | Goliath    |
| 7    | Halfling   |
| 8    | Human      |
| 9    | Orc        |
| 10   | Tiefling   |
  The reincarnated creature makes any choices that a speciesâ€™ description offers, and the creature recalls its former life. It retains the capabilities it had in its original form, except it loses the traits of its previous species and gains the traits of its new one_x000D_
#Druid</v>
      </c>
      <c r="C284" t="str">
        <f t="shared" si="17"/>
        <v>level 5</v>
      </c>
      <c r="D284" s="1" t="s">
        <v>420</v>
      </c>
      <c r="E284" t="str">
        <f t="shared" si="18"/>
        <v>level 5</v>
      </c>
      <c r="F284" t="str">
        <f t="shared" si="19"/>
        <v>NULL</v>
      </c>
      <c r="G284" t="str">
        <f>_xlfn.TEXTJOIN(" ",TRUE,IF(IFERROR(MATCH(SUBSTITUTE(A284,".md",""),'Bard Spells'!A:A,0),0)&gt;0,"#Bard",""),IF(IFERROR(MATCH(SUBSTITUTE(A284,".md",""),'Cleric Spells'!A:A,0),0)&gt;0,"#Cleric",""),IF(IFERROR(MATCH(SUBSTITUTE(A284,".md",""),'Druid Spells'!A:A,0),0)&gt;0,"#Druid",""),IF(IFERROR(MATCH(SUBSTITUTE(A284,".md",""),'Paladin Spells'!A:A,0),0)&gt;0,"#Paladin",""),IF(IFERROR(MATCH(SUBSTITUTE(A284,".md",""),'Ranger Spells'!A:A,0),0)&gt;0,"#Ranger",""),IF(IFERROR(MATCH(SUBSTITUTE(A284,".md",""),'Sorcerer Spells'!A:A,0),0)&gt;0,"#Sorcerer",""),IF(IFERROR(MATCH(SUBSTITUTE(A284,".md",""),'Warlock Spells'!A:A,0),0)&gt;0,"#Warlock",""),IF(IFERROR(MATCH(SUBSTITUTE(A284,".md",""),'Wizard Spells'!A:A,0),0)&gt;0,"#Wizard",""))</f>
        <v>#Druid</v>
      </c>
    </row>
    <row r="285" spans="1:7" ht="90" x14ac:dyDescent="0.25">
      <c r="A285" t="s">
        <v>421</v>
      </c>
      <c r="B285" s="1" t="str">
        <f t="shared" si="16"/>
        <v>level 3 - #abjuration Casting Time: Action Range: Touch Components: V, S Duration: Instantaneous 
At your touch, all curses affecting one creature or object end. If the object is a cursed magic item, its curse remains, but the spell breaks its owner's Attunement to the object so it can be removed or discarded_x000D_
#Cleric #Paladin #Warlock #Wizard</v>
      </c>
      <c r="C285" t="str">
        <f t="shared" si="17"/>
        <v>level 3</v>
      </c>
      <c r="D285" s="1" t="s">
        <v>422</v>
      </c>
      <c r="E285" t="str">
        <f t="shared" si="18"/>
        <v>level 3</v>
      </c>
      <c r="F285" t="str">
        <f t="shared" si="19"/>
        <v>NULL</v>
      </c>
      <c r="G285" t="str">
        <f>_xlfn.TEXTJOIN(" ",TRUE,IF(IFERROR(MATCH(SUBSTITUTE(A285,".md",""),'Bard Spells'!A:A,0),0)&gt;0,"#Bard",""),IF(IFERROR(MATCH(SUBSTITUTE(A285,".md",""),'Cleric Spells'!A:A,0),0)&gt;0,"#Cleric",""),IF(IFERROR(MATCH(SUBSTITUTE(A285,".md",""),'Druid Spells'!A:A,0),0)&gt;0,"#Druid",""),IF(IFERROR(MATCH(SUBSTITUTE(A285,".md",""),'Paladin Spells'!A:A,0),0)&gt;0,"#Paladin",""),IF(IFERROR(MATCH(SUBSTITUTE(A285,".md",""),'Ranger Spells'!A:A,0),0)&gt;0,"#Ranger",""),IF(IFERROR(MATCH(SUBSTITUTE(A285,".md",""),'Sorcerer Spells'!A:A,0),0)&gt;0,"#Sorcerer",""),IF(IFERROR(MATCH(SUBSTITUTE(A285,".md",""),'Warlock Spells'!A:A,0),0)&gt;0,"#Warlock",""),IF(IFERROR(MATCH(SUBSTITUTE(A285,".md",""),'Wizard Spells'!A:A,0),0)&gt;0,"#Wizard",""))</f>
        <v>#Cleric #Paladin #Warlock #Wizard</v>
      </c>
    </row>
    <row r="286" spans="1:7" ht="105" x14ac:dyDescent="0.25">
      <c r="A286" t="s">
        <v>423</v>
      </c>
      <c r="B286" s="1" t="str">
        <f t="shared" si="16"/>
        <v>level 0 - #abjuration Casting Time: Action Range: Touch Components: V, S Duration: #Concentration, up to 1 minute 
You touch a willing creature and choose a damage type: Acid, Bludgeoning, Cold, Fire, Lightning, Necrotic, Piercing, Poison, Radiant, Slashing, or Thunder. When the creature takes damage of the chosen type before the spell ends, the creature reduces the total damage taken by 1d4. A creature can benefit from this spell only once per turn._x000D_
#Cleric #Druid</v>
      </c>
      <c r="C286" t="str">
        <f t="shared" si="17"/>
        <v>level 0</v>
      </c>
      <c r="D286" s="1" t="s">
        <v>424</v>
      </c>
      <c r="E286" t="str">
        <f t="shared" si="18"/>
        <v>level 0</v>
      </c>
      <c r="F286" t="str">
        <f t="shared" si="19"/>
        <v>NULL</v>
      </c>
      <c r="G286" t="str">
        <f>_xlfn.TEXTJOIN(" ",TRUE,IF(IFERROR(MATCH(SUBSTITUTE(A286,".md",""),'Bard Spells'!A:A,0),0)&gt;0,"#Bard",""),IF(IFERROR(MATCH(SUBSTITUTE(A286,".md",""),'Cleric Spells'!A:A,0),0)&gt;0,"#Cleric",""),IF(IFERROR(MATCH(SUBSTITUTE(A286,".md",""),'Druid Spells'!A:A,0),0)&gt;0,"#Druid",""),IF(IFERROR(MATCH(SUBSTITUTE(A286,".md",""),'Paladin Spells'!A:A,0),0)&gt;0,"#Paladin",""),IF(IFERROR(MATCH(SUBSTITUTE(A286,".md",""),'Ranger Spells'!A:A,0),0)&gt;0,"#Ranger",""),IF(IFERROR(MATCH(SUBSTITUTE(A286,".md",""),'Sorcerer Spells'!A:A,0),0)&gt;0,"#Sorcerer",""),IF(IFERROR(MATCH(SUBSTITUTE(A286,".md",""),'Warlock Spells'!A:A,0),0)&gt;0,"#Warlock",""),IF(IFERROR(MATCH(SUBSTITUTE(A286,".md",""),'Wizard Spells'!A:A,0),0)&gt;0,"#Wizard",""))</f>
        <v>#Cleric #Druid</v>
      </c>
    </row>
    <row r="287" spans="1:7" ht="135" x14ac:dyDescent="0.25">
      <c r="A287" t="s">
        <v>425</v>
      </c>
      <c r="B287" s="1" t="str">
        <f t="shared" si="16"/>
        <v>level 7 - #necromancy Casting Time: 1 hour Range: Touch Components: V, S, M (a diamond worth 1,000+ GP, which the spell consumes) Duration: Instantaneous 
With a touch, you revive a dead creature that has been dead for no more than a century, didn't die of old age, and wasn't Undead when it died. 
The creature returns to life with all its Hit Points. This spell also neutralizes any poisons that affected the creature at the time of death. This spell closes all mortal wounds and restores any missing body parts. 
Coming back from the dead is an ordeal. The target takes a âˆ’4 penalty to D20 Tests. Every time the target finishes a Long Rest, the penalty is reduced by 1 until it becomes 0. 
Casting this spell to revive a creature that has been dead for 365 days or longer taxes you. Until you finish a Long Rest, you can't cast spells again, and you have Disadvantage on D20 Tests._x000D_
#Bard #Cleric</v>
      </c>
      <c r="C287" t="str">
        <f t="shared" si="17"/>
        <v>level 7</v>
      </c>
      <c r="D287" s="1" t="s">
        <v>426</v>
      </c>
      <c r="E287" t="str">
        <f t="shared" si="18"/>
        <v>level 7</v>
      </c>
      <c r="F287" t="str">
        <f t="shared" si="19"/>
        <v>NULL</v>
      </c>
      <c r="G287" t="str">
        <f>_xlfn.TEXTJOIN(" ",TRUE,IF(IFERROR(MATCH(SUBSTITUTE(A287,".md",""),'Bard Spells'!A:A,0),0)&gt;0,"#Bard",""),IF(IFERROR(MATCH(SUBSTITUTE(A287,".md",""),'Cleric Spells'!A:A,0),0)&gt;0,"#Cleric",""),IF(IFERROR(MATCH(SUBSTITUTE(A287,".md",""),'Druid Spells'!A:A,0),0)&gt;0,"#Druid",""),IF(IFERROR(MATCH(SUBSTITUTE(A287,".md",""),'Paladin Spells'!A:A,0),0)&gt;0,"#Paladin",""),IF(IFERROR(MATCH(SUBSTITUTE(A287,".md",""),'Ranger Spells'!A:A,0),0)&gt;0,"#Ranger",""),IF(IFERROR(MATCH(SUBSTITUTE(A287,".md",""),'Sorcerer Spells'!A:A,0),0)&gt;0,"#Sorcerer",""),IF(IFERROR(MATCH(SUBSTITUTE(A287,".md",""),'Warlock Spells'!A:A,0),0)&gt;0,"#Warlock",""),IF(IFERROR(MATCH(SUBSTITUTE(A287,".md",""),'Wizard Spells'!A:A,0),0)&gt;0,"#Wizard",""))</f>
        <v>#Bard #Cleric</v>
      </c>
    </row>
    <row r="288" spans="1:7" ht="135" x14ac:dyDescent="0.25">
      <c r="A288" t="s">
        <v>427</v>
      </c>
      <c r="B288" s="1" t="str">
        <f t="shared" si="16"/>
        <v>level 7 - #transmutation Casting Time: Action Range: 100 feet Components: V, S, M (a lodestone and iron filings) Duration: #Concentration, up to 1 minute 
This spell reverses gravity in a 50-foot-radius, 100-foot high Cylinder centered on a point within range. All creatures and objects in that area that aren't anchored to the ground fall upward and reach the top of the Cylinder. A creature can make a Dexterity saving throw to grab a fixed object it can reach, thus avoiding the fall upward. 
If a ceiling or an anchored object is encountered in this upward fall, creatures and objects strike it just as they would during a downward fall. If an affected creature or object reaches the Cylinder's top without striking anything, it hovers there for the duration. When the spell ends, affected objects and creatures fall downward._x000D_
#Druid #Sorcerer #Wizard</v>
      </c>
      <c r="C288" t="str">
        <f t="shared" si="17"/>
        <v>level 7</v>
      </c>
      <c r="D288" s="1" t="s">
        <v>428</v>
      </c>
      <c r="E288" t="str">
        <f t="shared" si="18"/>
        <v>level 7</v>
      </c>
      <c r="F288" t="str">
        <f t="shared" si="19"/>
        <v>NULL</v>
      </c>
      <c r="G288" t="str">
        <f>_xlfn.TEXTJOIN(" ",TRUE,IF(IFERROR(MATCH(SUBSTITUTE(A288,".md",""),'Bard Spells'!A:A,0),0)&gt;0,"#Bard",""),IF(IFERROR(MATCH(SUBSTITUTE(A288,".md",""),'Cleric Spells'!A:A,0),0)&gt;0,"#Cleric",""),IF(IFERROR(MATCH(SUBSTITUTE(A288,".md",""),'Druid Spells'!A:A,0),0)&gt;0,"#Druid",""),IF(IFERROR(MATCH(SUBSTITUTE(A288,".md",""),'Paladin Spells'!A:A,0),0)&gt;0,"#Paladin",""),IF(IFERROR(MATCH(SUBSTITUTE(A288,".md",""),'Ranger Spells'!A:A,0),0)&gt;0,"#Ranger",""),IF(IFERROR(MATCH(SUBSTITUTE(A288,".md",""),'Sorcerer Spells'!A:A,0),0)&gt;0,"#Sorcerer",""),IF(IFERROR(MATCH(SUBSTITUTE(A288,".md",""),'Warlock Spells'!A:A,0),0)&gt;0,"#Warlock",""),IF(IFERROR(MATCH(SUBSTITUTE(A288,".md",""),'Wizard Spells'!A:A,0),0)&gt;0,"#Wizard",""))</f>
        <v>#Druid #Sorcerer #Wizard</v>
      </c>
    </row>
    <row r="289" spans="1:7" ht="90" x14ac:dyDescent="0.25">
      <c r="A289" t="s">
        <v>429</v>
      </c>
      <c r="B289" s="1" t="str">
        <f t="shared" si="16"/>
        <v>level 3 - #necromancy Casting Time: Action Range: Touch Components: V, S, M (diamonds worth 300+ GP, which the spell consumes) Duration: Instantaneous 
You touch a creature that has died within the last minute. That creature revives with 1 Hit Point. This spell can't revive a creature that has died of old age, nor does it restore any missing body parts_x000D_
#Cleric #Druid #Paladin #Ranger</v>
      </c>
      <c r="C289" t="str">
        <f t="shared" si="17"/>
        <v>level 3</v>
      </c>
      <c r="D289" s="1" t="s">
        <v>430</v>
      </c>
      <c r="E289" t="str">
        <f t="shared" si="18"/>
        <v>level 3</v>
      </c>
      <c r="F289" t="str">
        <f t="shared" si="19"/>
        <v>NULL</v>
      </c>
      <c r="G289" t="str">
        <f>_xlfn.TEXTJOIN(" ",TRUE,IF(IFERROR(MATCH(SUBSTITUTE(A289,".md",""),'Bard Spells'!A:A,0),0)&gt;0,"#Bard",""),IF(IFERROR(MATCH(SUBSTITUTE(A289,".md",""),'Cleric Spells'!A:A,0),0)&gt;0,"#Cleric",""),IF(IFERROR(MATCH(SUBSTITUTE(A289,".md",""),'Druid Spells'!A:A,0),0)&gt;0,"#Druid",""),IF(IFERROR(MATCH(SUBSTITUTE(A289,".md",""),'Paladin Spells'!A:A,0),0)&gt;0,"#Paladin",""),IF(IFERROR(MATCH(SUBSTITUTE(A289,".md",""),'Ranger Spells'!A:A,0),0)&gt;0,"#Ranger",""),IF(IFERROR(MATCH(SUBSTITUTE(A289,".md",""),'Sorcerer Spells'!A:A,0),0)&gt;0,"#Sorcerer",""),IF(IFERROR(MATCH(SUBSTITUTE(A289,".md",""),'Warlock Spells'!A:A,0),0)&gt;0,"#Warlock",""),IF(IFERROR(MATCH(SUBSTITUTE(A289,".md",""),'Wizard Spells'!A:A,0),0)&gt;0,"#Wizard",""))</f>
        <v>#Cleric #Druid #Paladin #Ranger</v>
      </c>
    </row>
    <row r="290" spans="1:7" ht="135" x14ac:dyDescent="0.25">
      <c r="A290" t="s">
        <v>431</v>
      </c>
      <c r="B290" s="1" t="str">
        <f t="shared" si="16"/>
        <v>level 2 - #transmutation Casting Time: Action Range: Touch Components: V, S, M (a segment of rope) Duration: 1 hour 
You touch a rope. One end of it hovers upward until the rope hangs perpendicular to the ground or the rope reaches a ceiling. At the rope's upper end, an Invisible 3-foot-by-5-foot portal opens to an extradimensional space that lasts until the spell ends. That space can be reached by climbing the rope, which can be pulled into or dropped out of it. 
The space can hold up to eight Medium or smaller creatures. Attacks, spells, and other effects can't pass into or out of the space, but creatures inside it can see through the portal. Anything inside the space drops out when the spell ends_x000D_
#Wizard</v>
      </c>
      <c r="C290" t="str">
        <f t="shared" si="17"/>
        <v>level 2</v>
      </c>
      <c r="D290" s="1" t="s">
        <v>432</v>
      </c>
      <c r="E290" t="str">
        <f t="shared" si="18"/>
        <v>level 2</v>
      </c>
      <c r="F290" t="str">
        <f t="shared" si="19"/>
        <v>NULL</v>
      </c>
      <c r="G290" t="str">
        <f>_xlfn.TEXTJOIN(" ",TRUE,IF(IFERROR(MATCH(SUBSTITUTE(A290,".md",""),'Bard Spells'!A:A,0),0)&gt;0,"#Bard",""),IF(IFERROR(MATCH(SUBSTITUTE(A290,".md",""),'Cleric Spells'!A:A,0),0)&gt;0,"#Cleric",""),IF(IFERROR(MATCH(SUBSTITUTE(A290,".md",""),'Druid Spells'!A:A,0),0)&gt;0,"#Druid",""),IF(IFERROR(MATCH(SUBSTITUTE(A290,".md",""),'Paladin Spells'!A:A,0),0)&gt;0,"#Paladin",""),IF(IFERROR(MATCH(SUBSTITUTE(A290,".md",""),'Ranger Spells'!A:A,0),0)&gt;0,"#Ranger",""),IF(IFERROR(MATCH(SUBSTITUTE(A290,".md",""),'Sorcerer Spells'!A:A,0),0)&gt;0,"#Sorcerer",""),IF(IFERROR(MATCH(SUBSTITUTE(A290,".md",""),'Warlock Spells'!A:A,0),0)&gt;0,"#Warlock",""),IF(IFERROR(MATCH(SUBSTITUTE(A290,".md",""),'Wizard Spells'!A:A,0),0)&gt;0,"#Wizard",""))</f>
        <v>#Wizard</v>
      </c>
    </row>
    <row r="291" spans="1:7" ht="135" x14ac:dyDescent="0.25">
      <c r="A291" t="s">
        <v>433</v>
      </c>
      <c r="B291" s="1" t="str">
        <f t="shared" si="16"/>
        <v>level 0 - #evocation Casting Time: Action Range: 60 feet Components: V, S Duration: Instantaneous 
Flame-like radiance descends on a creature that you can see within range. The target must succeed on a Dexterity saving throw or take 1d8 Radiant damage. The target gains no benefit from Half Cover or Three-Quarters Cover for this save. 
Cantrip Upgrade. The damage increases by 1d8 when you reach levels 5 (2d8), 11 (3d8), and 17 (4d8)_x000D_
#Cleric</v>
      </c>
      <c r="C291" t="str">
        <f t="shared" si="17"/>
        <v>level 0</v>
      </c>
      <c r="D291" s="1" t="s">
        <v>434</v>
      </c>
      <c r="E291" t="str">
        <f t="shared" si="18"/>
        <v>level 0</v>
      </c>
      <c r="F291" t="str">
        <f t="shared" si="19"/>
        <v>NULL</v>
      </c>
      <c r="G291" t="str">
        <f>_xlfn.TEXTJOIN(" ",TRUE,IF(IFERROR(MATCH(SUBSTITUTE(A291,".md",""),'Bard Spells'!A:A,0),0)&gt;0,"#Bard",""),IF(IFERROR(MATCH(SUBSTITUTE(A291,".md",""),'Cleric Spells'!A:A,0),0)&gt;0,"#Cleric",""),IF(IFERROR(MATCH(SUBSTITUTE(A291,".md",""),'Druid Spells'!A:A,0),0)&gt;0,"#Druid",""),IF(IFERROR(MATCH(SUBSTITUTE(A291,".md",""),'Paladin Spells'!A:A,0),0)&gt;0,"#Paladin",""),IF(IFERROR(MATCH(SUBSTITUTE(A291,".md",""),'Ranger Spells'!A:A,0),0)&gt;0,"#Ranger",""),IF(IFERROR(MATCH(SUBSTITUTE(A291,".md",""),'Sorcerer Spells'!A:A,0),0)&gt;0,"#Sorcerer",""),IF(IFERROR(MATCH(SUBSTITUTE(A291,".md",""),'Warlock Spells'!A:A,0),0)&gt;0,"#Warlock",""),IF(IFERROR(MATCH(SUBSTITUTE(A291,".md",""),'Wizard Spells'!A:A,0),0)&gt;0,"#Wizard",""))</f>
        <v>#Cleric</v>
      </c>
    </row>
    <row r="292" spans="1:7" ht="120" x14ac:dyDescent="0.25">
      <c r="A292" t="s">
        <v>435</v>
      </c>
      <c r="B292" s="1" t="str">
        <f t="shared" si="16"/>
        <v>level 1 - #abjuration Casting Time: #BonusAction Range: 30 feet Components: V, S, M (a shard of glass from a mirror) Duration: 1 minute 
You ward a creature within range. Until the spell ends, any creature who targets the warded creature with an attack roll or a damaging spell must succeed on a Wisdom saving throw or either choose a new target or lose the attack or spell. This spell doesn't protect the warded creature from areas of effect. 
The spell ends if the warded creature makes an attack roll, casts a spell, or deals damage_x000D_
#Cleric</v>
      </c>
      <c r="C292" t="str">
        <f t="shared" si="17"/>
        <v>level 1</v>
      </c>
      <c r="D292" s="1" t="s">
        <v>1177</v>
      </c>
      <c r="E292" t="str">
        <f t="shared" si="18"/>
        <v>level 1</v>
      </c>
      <c r="F292" t="str">
        <f t="shared" si="19"/>
        <v>NULL</v>
      </c>
      <c r="G292" t="str">
        <f>_xlfn.TEXTJOIN(" ",TRUE,IF(IFERROR(MATCH(SUBSTITUTE(A292,".md",""),'Bard Spells'!A:A,0),0)&gt;0,"#Bard",""),IF(IFERROR(MATCH(SUBSTITUTE(A292,".md",""),'Cleric Spells'!A:A,0),0)&gt;0,"#Cleric",""),IF(IFERROR(MATCH(SUBSTITUTE(A292,".md",""),'Druid Spells'!A:A,0),0)&gt;0,"#Druid",""),IF(IFERROR(MATCH(SUBSTITUTE(A292,".md",""),'Paladin Spells'!A:A,0),0)&gt;0,"#Paladin",""),IF(IFERROR(MATCH(SUBSTITUTE(A292,".md",""),'Ranger Spells'!A:A,0),0)&gt;0,"#Ranger",""),IF(IFERROR(MATCH(SUBSTITUTE(A292,".md",""),'Sorcerer Spells'!A:A,0),0)&gt;0,"#Sorcerer",""),IF(IFERROR(MATCH(SUBSTITUTE(A292,".md",""),'Warlock Spells'!A:A,0),0)&gt;0,"#Warlock",""),IF(IFERROR(MATCH(SUBSTITUTE(A292,".md",""),'Wizard Spells'!A:A,0),0)&gt;0,"#Wizard",""))</f>
        <v>#Cleric</v>
      </c>
    </row>
    <row r="293" spans="1:7" ht="120" x14ac:dyDescent="0.25">
      <c r="A293" t="s">
        <v>436</v>
      </c>
      <c r="B293" s="1" t="str">
        <f t="shared" si="16"/>
        <v>level 2 - #evocation Casting Time: Action Range: 120 feet Components: V, S Duration: Instantaneous 
You hurl three fiery rays. You can hurl them at one target within range or at several. Make a ranged spell attack for each ray. On a hit, the target takes 2d6 Fire damage. 
Using a Higher-Level Spell Slot. You create one additional ray for each spell slot level above 2_x000D_
#Sorcerer #Wizard</v>
      </c>
      <c r="C293" t="str">
        <f t="shared" si="17"/>
        <v>level 2</v>
      </c>
      <c r="D293" s="1" t="s">
        <v>437</v>
      </c>
      <c r="E293" t="str">
        <f t="shared" si="18"/>
        <v>level 2</v>
      </c>
      <c r="F293" t="str">
        <f t="shared" si="19"/>
        <v>NULL</v>
      </c>
      <c r="G293" t="str">
        <f>_xlfn.TEXTJOIN(" ",TRUE,IF(IFERROR(MATCH(SUBSTITUTE(A293,".md",""),'Bard Spells'!A:A,0),0)&gt;0,"#Bard",""),IF(IFERROR(MATCH(SUBSTITUTE(A293,".md",""),'Cleric Spells'!A:A,0),0)&gt;0,"#Cleric",""),IF(IFERROR(MATCH(SUBSTITUTE(A293,".md",""),'Druid Spells'!A:A,0),0)&gt;0,"#Druid",""),IF(IFERROR(MATCH(SUBSTITUTE(A293,".md",""),'Paladin Spells'!A:A,0),0)&gt;0,"#Paladin",""),IF(IFERROR(MATCH(SUBSTITUTE(A293,".md",""),'Ranger Spells'!A:A,0),0)&gt;0,"#Ranger",""),IF(IFERROR(MATCH(SUBSTITUTE(A293,".md",""),'Sorcerer Spells'!A:A,0),0)&gt;0,"#Sorcerer",""),IF(IFERROR(MATCH(SUBSTITUTE(A293,".md",""),'Warlock Spells'!A:A,0),0)&gt;0,"#Warlock",""),IF(IFERROR(MATCH(SUBSTITUTE(A293,".md",""),'Wizard Spells'!A:A,0),0)&gt;0,"#Wizard",""))</f>
        <v>#Sorcerer #Wizard</v>
      </c>
    </row>
    <row r="294" spans="1:7" ht="360" x14ac:dyDescent="0.25">
      <c r="A294" t="s">
        <v>438</v>
      </c>
      <c r="B294" s="1" t="str">
        <f t="shared" si="16"/>
        <v>level 5 - #divination Casting Time: 10 minutes Range: Self Components: V, S, M (a focus worth 1,000+ GP, such as a crystal ball, mirror, or water-filled font) Duration: #Concentration, up to 10 minutes 
You can see and hear a creature you choose that is on the same plane of existence as you. The target makes a Wisdom saving throw, which is modified (see the tables below) by how well you know the target and the sort of physical connection you have to it. The target doesnâ€™t know what it is making the save against, only that it feels uneasy. 
| Your Knowledge of the Target Is... | Save Modifier |
| ---------------------------------- | ------------- |
| Secondhand (heard of the target)   | +5            |
| Firsthand (met the target)         | +0            |
| Extensive (know the target well)   | -5            |
| You Have the Targetâ€™s...                | Save Modifier |
| --------------------------------------- | ------------- |
| Picture or other likeness               | -2            |
| Garment or other possession             | -4            |
| Body part, lock of hair, or bit of nail | -10           |
On a successful save, the target isnâ€™t affected, and you canâ€™t use this spell on it again for 24 hours. 
On a failed save, the spell creates an Invisible, intangible sensor within 10 feet of the target. You can see and hear through the sensor as if you were there. The sensor moves with the target, remaining within 10 feet of it for the duration. If something can see the sensor, it appears as a luminous orb about the size of your fist. Instead of targeting a creature, you can target a location you have seen. When you do so, the sensor appears at that location and doesnâ€™t move._x000D_
#Bard #Cleric #Druid #Warlock #Wizard</v>
      </c>
      <c r="C294" t="str">
        <f t="shared" si="17"/>
        <v>level 5</v>
      </c>
      <c r="D294" s="1" t="s">
        <v>439</v>
      </c>
      <c r="E294" t="str">
        <f t="shared" si="18"/>
        <v>level 5</v>
      </c>
      <c r="F294" t="str">
        <f t="shared" si="19"/>
        <v>NULL</v>
      </c>
      <c r="G294" t="str">
        <f>_xlfn.TEXTJOIN(" ",TRUE,IF(IFERROR(MATCH(SUBSTITUTE(A294,".md",""),'Bard Spells'!A:A,0),0)&gt;0,"#Bard",""),IF(IFERROR(MATCH(SUBSTITUTE(A294,".md",""),'Cleric Spells'!A:A,0),0)&gt;0,"#Cleric",""),IF(IFERROR(MATCH(SUBSTITUTE(A294,".md",""),'Druid Spells'!A:A,0),0)&gt;0,"#Druid",""),IF(IFERROR(MATCH(SUBSTITUTE(A294,".md",""),'Paladin Spells'!A:A,0),0)&gt;0,"#Paladin",""),IF(IFERROR(MATCH(SUBSTITUTE(A294,".md",""),'Ranger Spells'!A:A,0),0)&gt;0,"#Ranger",""),IF(IFERROR(MATCH(SUBSTITUTE(A294,".md",""),'Sorcerer Spells'!A:A,0),0)&gt;0,"#Sorcerer",""),IF(IFERROR(MATCH(SUBSTITUTE(A294,".md",""),'Warlock Spells'!A:A,0),0)&gt;0,"#Warlock",""),IF(IFERROR(MATCH(SUBSTITUTE(A294,".md",""),'Wizard Spells'!A:A,0),0)&gt;0,"#Wizard",""))</f>
        <v>#Bard #Cleric #Druid #Warlock #Wizard</v>
      </c>
    </row>
    <row r="295" spans="1:7" ht="135" x14ac:dyDescent="0.25">
      <c r="A295" t="s">
        <v>440</v>
      </c>
      <c r="B295" s="1" t="str">
        <f t="shared" si="16"/>
        <v>level 1 - #evocation Casting Time: #BonusAction, which you take immediately after hitting a target with a Melee weapon or an Unarmed Strike Range: Self Components: V Duration: 1 minute 
As you hit the target, it takes an extra 1d6 Fire damage from the attack. At the start of each of its turns until the spell ends, the target takes 1d6 Fire damage and then makes a Constitution saving throw. On a failed save, the spell continues. On a successful save, the spell ends. 
Using a Higher-Level Spell Slot. All the damage increases by 1d6 for each spell slot level above 1_x000D_
#Paladin</v>
      </c>
      <c r="C295" t="str">
        <f t="shared" si="17"/>
        <v>level 1</v>
      </c>
      <c r="D295" s="1" t="s">
        <v>1178</v>
      </c>
      <c r="E295" t="str">
        <f t="shared" si="18"/>
        <v>level 1</v>
      </c>
      <c r="F295" t="str">
        <f t="shared" si="19"/>
        <v>NULL</v>
      </c>
      <c r="G295" t="str">
        <f>_xlfn.TEXTJOIN(" ",TRUE,IF(IFERROR(MATCH(SUBSTITUTE(A295,".md",""),'Bard Spells'!A:A,0),0)&gt;0,"#Bard",""),IF(IFERROR(MATCH(SUBSTITUTE(A295,".md",""),'Cleric Spells'!A:A,0),0)&gt;0,"#Cleric",""),IF(IFERROR(MATCH(SUBSTITUTE(A295,".md",""),'Druid Spells'!A:A,0),0)&gt;0,"#Druid",""),IF(IFERROR(MATCH(SUBSTITUTE(A295,".md",""),'Paladin Spells'!A:A,0),0)&gt;0,"#Paladin",""),IF(IFERROR(MATCH(SUBSTITUTE(A295,".md",""),'Ranger Spells'!A:A,0),0)&gt;0,"#Ranger",""),IF(IFERROR(MATCH(SUBSTITUTE(A295,".md",""),'Sorcerer Spells'!A:A,0),0)&gt;0,"#Sorcerer",""),IF(IFERROR(MATCH(SUBSTITUTE(A295,".md",""),'Warlock Spells'!A:A,0),0)&gt;0,"#Warlock",""),IF(IFERROR(MATCH(SUBSTITUTE(A295,".md",""),'Wizard Spells'!A:A,0),0)&gt;0,"#Wizard",""))</f>
        <v>#Paladin</v>
      </c>
    </row>
    <row r="296" spans="1:7" ht="90" x14ac:dyDescent="0.25">
      <c r="A296" t="s">
        <v>441</v>
      </c>
      <c r="B296" s="1" t="str">
        <f t="shared" si="16"/>
        <v>level 2 - #divination Casting Time: Action Range: Self Components: V, S, M (a pinch of talc) Duration: 1 hour 
For the duration, you see creatures and objects that have the Invisible condition as if they were visible, and you can see into the Ethereal Plane. Creatures and objects there appear ghostly_x000D_
#Bard #Sorcerer #Wizard</v>
      </c>
      <c r="C296" t="str">
        <f t="shared" si="17"/>
        <v>level 2</v>
      </c>
      <c r="D296" s="1" t="s">
        <v>442</v>
      </c>
      <c r="E296" t="str">
        <f t="shared" si="18"/>
        <v>level 2</v>
      </c>
      <c r="F296" t="str">
        <f t="shared" si="19"/>
        <v>NULL</v>
      </c>
      <c r="G296" t="str">
        <f>_xlfn.TEXTJOIN(" ",TRUE,IF(IFERROR(MATCH(SUBSTITUTE(A296,".md",""),'Bard Spells'!A:A,0),0)&gt;0,"#Bard",""),IF(IFERROR(MATCH(SUBSTITUTE(A296,".md",""),'Cleric Spells'!A:A,0),0)&gt;0,"#Cleric",""),IF(IFERROR(MATCH(SUBSTITUTE(A296,".md",""),'Druid Spells'!A:A,0),0)&gt;0,"#Druid",""),IF(IFERROR(MATCH(SUBSTITUTE(A296,".md",""),'Paladin Spells'!A:A,0),0)&gt;0,"#Paladin",""),IF(IFERROR(MATCH(SUBSTITUTE(A296,".md",""),'Ranger Spells'!A:A,0),0)&gt;0,"#Ranger",""),IF(IFERROR(MATCH(SUBSTITUTE(A296,".md",""),'Sorcerer Spells'!A:A,0),0)&gt;0,"#Sorcerer",""),IF(IFERROR(MATCH(SUBSTITUTE(A296,".md",""),'Warlock Spells'!A:A,0),0)&gt;0,"#Warlock",""),IF(IFERROR(MATCH(SUBSTITUTE(A296,".md",""),'Wizard Spells'!A:A,0),0)&gt;0,"#Wizard",""))</f>
        <v>#Bard #Sorcerer #Wizard</v>
      </c>
    </row>
    <row r="297" spans="1:7" ht="150" x14ac:dyDescent="0.25">
      <c r="A297" t="s">
        <v>443</v>
      </c>
      <c r="B297" s="1" t="str">
        <f t="shared" si="16"/>
        <v>level 5 - #illusion Casting Time: Action Range: 30 feet Components: V, S Duration: 8 hours 
You give an illusory appearance to each creature of your choice that you can see within range. An unwilling target can make a Charisma saving throw, and if it succeeds, it is unaffected by this spell. 
You can give the same appearance or different ones to the targets. The spell can change the appearance of the targets' bodies and equipment. You can make each creature seem 1 foot shorter or taller and appear heavier or lighter. A target's new appearance must have the same basic arrangement of limbs as the target, but the extent of the illusion is otherwise up to you. The spell lasts for the duration. 
The changes wrought by this spell fail to hold up to physical inspection. For example, if you use this spell to add a hat to a creature's outfit, objects pass through the hat. 
A creature that takes the Study action to examine a target can make an Intelligence (Investigation) check against your spell save DC. If it succeeds, it becomes aware that the target is disguised._x000D_
#Bard #Sorcerer #Wizard</v>
      </c>
      <c r="C297" t="str">
        <f t="shared" si="17"/>
        <v>level 5</v>
      </c>
      <c r="D297" s="1" t="s">
        <v>444</v>
      </c>
      <c r="E297" t="str">
        <f t="shared" si="18"/>
        <v>level 5</v>
      </c>
      <c r="F297" t="str">
        <f t="shared" si="19"/>
        <v>NULL</v>
      </c>
      <c r="G297" t="str">
        <f>_xlfn.TEXTJOIN(" ",TRUE,IF(IFERROR(MATCH(SUBSTITUTE(A297,".md",""),'Bard Spells'!A:A,0),0)&gt;0,"#Bard",""),IF(IFERROR(MATCH(SUBSTITUTE(A297,".md",""),'Cleric Spells'!A:A,0),0)&gt;0,"#Cleric",""),IF(IFERROR(MATCH(SUBSTITUTE(A297,".md",""),'Druid Spells'!A:A,0),0)&gt;0,"#Druid",""),IF(IFERROR(MATCH(SUBSTITUTE(A297,".md",""),'Paladin Spells'!A:A,0),0)&gt;0,"#Paladin",""),IF(IFERROR(MATCH(SUBSTITUTE(A297,".md",""),'Ranger Spells'!A:A,0),0)&gt;0,"#Ranger",""),IF(IFERROR(MATCH(SUBSTITUTE(A297,".md",""),'Sorcerer Spells'!A:A,0),0)&gt;0,"#Sorcerer",""),IF(IFERROR(MATCH(SUBSTITUTE(A297,".md",""),'Warlock Spells'!A:A,0),0)&gt;0,"#Warlock",""),IF(IFERROR(MATCH(SUBSTITUTE(A297,".md",""),'Wizard Spells'!A:A,0),0)&gt;0,"#Wizard",""))</f>
        <v>#Bard #Sorcerer #Wizard</v>
      </c>
    </row>
    <row r="298" spans="1:7" ht="150" x14ac:dyDescent="0.25">
      <c r="A298" t="s">
        <v>445</v>
      </c>
      <c r="B298" s="1" t="str">
        <f t="shared" si="16"/>
        <v>level 3 - #divination Casting Time: Action Range: Unlimited Components: V, S, M (a copper wire) Duration: Instantaneous 
You send a short message of 25 words or fewer to a creature you have met or a creature described to you by someone who has met it. The target hears the message in its mind, recognizes you as the sender if it knows you, and can answer in a like manner immediately. The spell enables targets to understand the meaning of your message. 
You can send the message across any distance and even to other planes of existence, but if the target is on a different plane than you, there is a 5 percent chance that the message doesn't arrive. You know if the delivery fails. 
Upon receiving your message, a creature can block your ability to reach it again with this spell for 8 hours. If you try to send another message during that time, you learn that you are blocked, and the spell fails_x000D_
#Bard #Cleric #Wizard</v>
      </c>
      <c r="C298" t="str">
        <f t="shared" si="17"/>
        <v>level 3</v>
      </c>
      <c r="D298" s="1" t="s">
        <v>446</v>
      </c>
      <c r="E298" t="str">
        <f t="shared" si="18"/>
        <v>level 3</v>
      </c>
      <c r="F298" t="str">
        <f t="shared" si="19"/>
        <v>NULL</v>
      </c>
      <c r="G298" t="str">
        <f>_xlfn.TEXTJOIN(" ",TRUE,IF(IFERROR(MATCH(SUBSTITUTE(A298,".md",""),'Bard Spells'!A:A,0),0)&gt;0,"#Bard",""),IF(IFERROR(MATCH(SUBSTITUTE(A298,".md",""),'Cleric Spells'!A:A,0),0)&gt;0,"#Cleric",""),IF(IFERROR(MATCH(SUBSTITUTE(A298,".md",""),'Druid Spells'!A:A,0),0)&gt;0,"#Druid",""),IF(IFERROR(MATCH(SUBSTITUTE(A298,".md",""),'Paladin Spells'!A:A,0),0)&gt;0,"#Paladin",""),IF(IFERROR(MATCH(SUBSTITUTE(A298,".md",""),'Ranger Spells'!A:A,0),0)&gt;0,"#Ranger",""),IF(IFERROR(MATCH(SUBSTITUTE(A298,".md",""),'Sorcerer Spells'!A:A,0),0)&gt;0,"#Sorcerer",""),IF(IFERROR(MATCH(SUBSTITUTE(A298,".md",""),'Warlock Spells'!A:A,0),0)&gt;0,"#Warlock",""),IF(IFERROR(MATCH(SUBSTITUTE(A298,".md",""),'Wizard Spells'!A:A,0),0)&gt;0,"#Wizard",""))</f>
        <v>#Bard #Cleric #Wizard</v>
      </c>
    </row>
    <row r="299" spans="1:7" ht="150" x14ac:dyDescent="0.25">
      <c r="A299" t="s">
        <v>447</v>
      </c>
      <c r="B299" s="1" t="str">
        <f t="shared" si="16"/>
        <v>level 7 - #transmutation Casting Time: Action Range: Touch Components: V, S, M (gem dust worth 5,000+ GP, which the spell consumes) Duration: Until dispelled 
With a touch, you magically sequester an object or a willing creature. For the duration, the target has the Invisible condition and can't be targeted by Divination spells, detected by magic, or viewed remotely with magic. 
If the target is a creature, it enters a state of suspended animation; it has the Unconscious condition, doesn't age, and doesn't need food, water, or air. 
You can set a condition for the spell to end early. The condition can be anything you choose, but it must occur or be visible within 1 mile of the target. Examples include â€œafter 1,000 yearsâ€ or â€œwhen the tarrasque awakens.â€ This spell also ends if the target takes any damage._x000D_
#Wizard</v>
      </c>
      <c r="C299" t="str">
        <f t="shared" si="17"/>
        <v>level 7</v>
      </c>
      <c r="D299" s="1" t="s">
        <v>448</v>
      </c>
      <c r="E299" t="str">
        <f t="shared" si="18"/>
        <v>level 7</v>
      </c>
      <c r="F299" t="str">
        <f t="shared" si="19"/>
        <v>NULL</v>
      </c>
      <c r="G299" t="str">
        <f>_xlfn.TEXTJOIN(" ",TRUE,IF(IFERROR(MATCH(SUBSTITUTE(A299,".md",""),'Bard Spells'!A:A,0),0)&gt;0,"#Bard",""),IF(IFERROR(MATCH(SUBSTITUTE(A299,".md",""),'Cleric Spells'!A:A,0),0)&gt;0,"#Cleric",""),IF(IFERROR(MATCH(SUBSTITUTE(A299,".md",""),'Druid Spells'!A:A,0),0)&gt;0,"#Druid",""),IF(IFERROR(MATCH(SUBSTITUTE(A299,".md",""),'Paladin Spells'!A:A,0),0)&gt;0,"#Paladin",""),IF(IFERROR(MATCH(SUBSTITUTE(A299,".md",""),'Ranger Spells'!A:A,0),0)&gt;0,"#Ranger",""),IF(IFERROR(MATCH(SUBSTITUTE(A299,".md",""),'Sorcerer Spells'!A:A,0),0)&gt;0,"#Sorcerer",""),IF(IFERROR(MATCH(SUBSTITUTE(A299,".md",""),'Warlock Spells'!A:A,0),0)&gt;0,"#Warlock",""),IF(IFERROR(MATCH(SUBSTITUTE(A299,".md",""),'Wizard Spells'!A:A,0),0)&gt;0,"#Wizard",""))</f>
        <v>#Wizard</v>
      </c>
    </row>
    <row r="300" spans="1:7" ht="165" x14ac:dyDescent="0.25">
      <c r="A300" t="s">
        <v>449</v>
      </c>
      <c r="B300" s="1" t="str">
        <f t="shared" si="16"/>
        <v>level 9 - #transmutation Casting Time: Action Range: Self Components: V, S, M (a jade circlet worth 1,500+ GP) Duration: #Concentration, up to 1 hour 
You shape-shift into another creature for the duration or until you take a Magic action to shape-shift into a different eligible form. The new form must be of a creature that has a Challenge Rating no higher than your level or Challenge Rating. You must have seen the sort of creature before, and it can't be a Construct or an Undead. When you shape-shift, you gain a number of Temporary Hit Points equal to the Hit Points of the form. The spell ends early if you have no Temporary Hit Points left. 
Your game statistics are replaced by the stat block of the chosen form, but you retain your creature type; alignment; personality; Intelligence, Wisdom, and Charisma scores; Hit Points; Hit Point Dice; proficiencies; and ability to communicate. If you have the Spellcasting feature, you retain it too. 
Upon shape-shifting, you determine whether your equipment drops to the ground or changes in size and shape to fit the new form while you're in it._x000D_
#Druid #Wizard</v>
      </c>
      <c r="C300" t="str">
        <f t="shared" si="17"/>
        <v>level 9</v>
      </c>
      <c r="D300" s="1" t="s">
        <v>697</v>
      </c>
      <c r="E300" t="str">
        <f t="shared" si="18"/>
        <v>level 9</v>
      </c>
      <c r="F300" t="str">
        <f t="shared" si="19"/>
        <v>NULL</v>
      </c>
      <c r="G300" t="str">
        <f>_xlfn.TEXTJOIN(" ",TRUE,IF(IFERROR(MATCH(SUBSTITUTE(A300,".md",""),'Bard Spells'!A:A,0),0)&gt;0,"#Bard",""),IF(IFERROR(MATCH(SUBSTITUTE(A300,".md",""),'Cleric Spells'!A:A,0),0)&gt;0,"#Cleric",""),IF(IFERROR(MATCH(SUBSTITUTE(A300,".md",""),'Druid Spells'!A:A,0),0)&gt;0,"#Druid",""),IF(IFERROR(MATCH(SUBSTITUTE(A300,".md",""),'Paladin Spells'!A:A,0),0)&gt;0,"#Paladin",""),IF(IFERROR(MATCH(SUBSTITUTE(A300,".md",""),'Ranger Spells'!A:A,0),0)&gt;0,"#Ranger",""),IF(IFERROR(MATCH(SUBSTITUTE(A300,".md",""),'Sorcerer Spells'!A:A,0),0)&gt;0,"#Sorcerer",""),IF(IFERROR(MATCH(SUBSTITUTE(A300,".md",""),'Warlock Spells'!A:A,0),0)&gt;0,"#Warlock",""),IF(IFERROR(MATCH(SUBSTITUTE(A300,".md",""),'Wizard Spells'!A:A,0),0)&gt;0,"#Wizard",""))</f>
        <v>#Druid #Wizard</v>
      </c>
    </row>
    <row r="301" spans="1:7" ht="150" x14ac:dyDescent="0.25">
      <c r="A301" t="s">
        <v>450</v>
      </c>
      <c r="B301" s="1" t="str">
        <f t="shared" si="16"/>
        <v>level 2 - #evocation Casting Time: Action Range: 60 feet Components: V, S, M (a chip of mica) Duration: Instantaneous 
A loud noise erupts from a point of your choice within range. Each creature in a 10-foot-radius Sphere centered there makes a Constitution saving throw, taking 3d8 Thunder damage on a failed save or half as much damage on a successful one. A Construct has Disadvantage on the save.
A nonmagical object that isn't being worn or carried also takes the damage if it's in the spell's area. 
Using a Higher-Level Spell Slot. The damage increases by 1d8 for each spell slot level above 2_x000D_
#Bard #Sorcerer #Wizard</v>
      </c>
      <c r="C301" t="str">
        <f t="shared" si="17"/>
        <v>level 2</v>
      </c>
      <c r="D301" s="1" t="s">
        <v>451</v>
      </c>
      <c r="E301" t="str">
        <f t="shared" si="18"/>
        <v>level 2</v>
      </c>
      <c r="F301" t="str">
        <f t="shared" si="19"/>
        <v>NULL</v>
      </c>
      <c r="G301" t="str">
        <f>_xlfn.TEXTJOIN(" ",TRUE,IF(IFERROR(MATCH(SUBSTITUTE(A301,".md",""),'Bard Spells'!A:A,0),0)&gt;0,"#Bard",""),IF(IFERROR(MATCH(SUBSTITUTE(A301,".md",""),'Cleric Spells'!A:A,0),0)&gt;0,"#Cleric",""),IF(IFERROR(MATCH(SUBSTITUTE(A301,".md",""),'Druid Spells'!A:A,0),0)&gt;0,"#Druid",""),IF(IFERROR(MATCH(SUBSTITUTE(A301,".md",""),'Paladin Spells'!A:A,0),0)&gt;0,"#Paladin",""),IF(IFERROR(MATCH(SUBSTITUTE(A301,".md",""),'Ranger Spells'!A:A,0),0)&gt;0,"#Ranger",""),IF(IFERROR(MATCH(SUBSTITUTE(A301,".md",""),'Sorcerer Spells'!A:A,0),0)&gt;0,"#Sorcerer",""),IF(IFERROR(MATCH(SUBSTITUTE(A301,".md",""),'Warlock Spells'!A:A,0),0)&gt;0,"#Warlock",""),IF(IFERROR(MATCH(SUBSTITUTE(A301,".md",""),'Wizard Spells'!A:A,0),0)&gt;0,"#Wizard",""))</f>
        <v>#Bard #Sorcerer #Wizard</v>
      </c>
    </row>
    <row r="302" spans="1:7" ht="90" x14ac:dyDescent="0.25">
      <c r="A302" t="s">
        <v>452</v>
      </c>
      <c r="B302" s="1" t="str">
        <f t="shared" si="16"/>
        <v>level 1 - #abjuration Casting Time: #BonusAction Range: 60 feet Components: V, S, M (a prayer scroll) Duration: #Concentration, up to 10 minutes 
A shimmering field surrounds a creature of your choice within range, granting it a +2 bonus to AC for the duration_x000D_
#Cleric #Paladin</v>
      </c>
      <c r="C302" t="str">
        <f t="shared" si="17"/>
        <v>level 1</v>
      </c>
      <c r="D302" s="1" t="s">
        <v>1179</v>
      </c>
      <c r="E302" t="str">
        <f t="shared" si="18"/>
        <v>level 1</v>
      </c>
      <c r="F302" t="str">
        <f t="shared" si="19"/>
        <v>NULL</v>
      </c>
      <c r="G302" t="str">
        <f>_xlfn.TEXTJOIN(" ",TRUE,IF(IFERROR(MATCH(SUBSTITUTE(A302,".md",""),'Bard Spells'!A:A,0),0)&gt;0,"#Bard",""),IF(IFERROR(MATCH(SUBSTITUTE(A302,".md",""),'Cleric Spells'!A:A,0),0)&gt;0,"#Cleric",""),IF(IFERROR(MATCH(SUBSTITUTE(A302,".md",""),'Druid Spells'!A:A,0),0)&gt;0,"#Druid",""),IF(IFERROR(MATCH(SUBSTITUTE(A302,".md",""),'Paladin Spells'!A:A,0),0)&gt;0,"#Paladin",""),IF(IFERROR(MATCH(SUBSTITUTE(A302,".md",""),'Ranger Spells'!A:A,0),0)&gt;0,"#Ranger",""),IF(IFERROR(MATCH(SUBSTITUTE(A302,".md",""),'Sorcerer Spells'!A:A,0),0)&gt;0,"#Sorcerer",""),IF(IFERROR(MATCH(SUBSTITUTE(A302,".md",""),'Warlock Spells'!A:A,0),0)&gt;0,"#Warlock",""),IF(IFERROR(MATCH(SUBSTITUTE(A302,".md",""),'Wizard Spells'!A:A,0),0)&gt;0,"#Wizard",""))</f>
        <v>#Cleric #Paladin</v>
      </c>
    </row>
    <row r="303" spans="1:7" ht="90" x14ac:dyDescent="0.25">
      <c r="A303" t="s">
        <v>453</v>
      </c>
      <c r="B303" s="1" t="str">
        <f t="shared" si="16"/>
        <v>level 1 - #abjuration Casting Time: #Reaction, which you take when you are hit by an attack roll or targeted by the Magic Missile spell Range: Self Components: V, S Duration: 1 round 
An imperceptible barrier of magical force protects you. Until the start of your next turn, you have a +5 bonus to AC, including against the triggering attack, and you take no damage from Magic Missile_x000D_
#Sorcerer #Wizard</v>
      </c>
      <c r="C303" t="str">
        <f t="shared" si="17"/>
        <v>level 1</v>
      </c>
      <c r="D303" s="1" t="s">
        <v>454</v>
      </c>
      <c r="E303" t="str">
        <f t="shared" si="18"/>
        <v>level 1</v>
      </c>
      <c r="F303" t="str">
        <f t="shared" si="19"/>
        <v>NULL</v>
      </c>
      <c r="G303" t="str">
        <f>_xlfn.TEXTJOIN(" ",TRUE,IF(IFERROR(MATCH(SUBSTITUTE(A303,".md",""),'Bard Spells'!A:A,0),0)&gt;0,"#Bard",""),IF(IFERROR(MATCH(SUBSTITUTE(A303,".md",""),'Cleric Spells'!A:A,0),0)&gt;0,"#Cleric",""),IF(IFERROR(MATCH(SUBSTITUTE(A303,".md",""),'Druid Spells'!A:A,0),0)&gt;0,"#Druid",""),IF(IFERROR(MATCH(SUBSTITUTE(A303,".md",""),'Paladin Spells'!A:A,0),0)&gt;0,"#Paladin",""),IF(IFERROR(MATCH(SUBSTITUTE(A303,".md",""),'Ranger Spells'!A:A,0),0)&gt;0,"#Ranger",""),IF(IFERROR(MATCH(SUBSTITUTE(A303,".md",""),'Sorcerer Spells'!A:A,0),0)&gt;0,"#Sorcerer",""),IF(IFERROR(MATCH(SUBSTITUTE(A303,".md",""),'Warlock Spells'!A:A,0),0)&gt;0,"#Warlock",""),IF(IFERROR(MATCH(SUBSTITUTE(A303,".md",""),'Wizard Spells'!A:A,0),0)&gt;0,"#Wizard",""))</f>
        <v>#Sorcerer #Wizard</v>
      </c>
    </row>
    <row r="304" spans="1:7" ht="150" x14ac:dyDescent="0.25">
      <c r="A304" t="s">
        <v>455</v>
      </c>
      <c r="B304" s="1" t="str">
        <f t="shared" si="16"/>
        <v>level 0 - #transmutation Casting Time: #BonusAction Range: Self Components: V, S, M (mistletoe) Duration: 1 minute 
A Club or Quarterstaff you are holding is imbued with nature's power. For the duration, you can use your spellcasting ability instead of Strength for the attack and damage rolls of melee attacks using that weapon, and the weapon's damage die becomes a d8. If the attack deals damage, it can be Force damage or the weapon's normal damage type (your choice).
The spell ends early if you cast it again or if you let go of the weapon. 
Cantrip Upgrade. The weapon's damage die changes when you reach levels 5 (d10), 11 (d12), and 17 (2d6)_x000D_
#Druid</v>
      </c>
      <c r="C304" t="str">
        <f t="shared" si="17"/>
        <v>level 0</v>
      </c>
      <c r="D304" s="1" t="s">
        <v>1180</v>
      </c>
      <c r="E304" t="str">
        <f t="shared" si="18"/>
        <v>level 0</v>
      </c>
      <c r="F304" t="str">
        <f t="shared" si="19"/>
        <v>NULL</v>
      </c>
      <c r="G304" t="str">
        <f>_xlfn.TEXTJOIN(" ",TRUE,IF(IFERROR(MATCH(SUBSTITUTE(A304,".md",""),'Bard Spells'!A:A,0),0)&gt;0,"#Bard",""),IF(IFERROR(MATCH(SUBSTITUTE(A304,".md",""),'Cleric Spells'!A:A,0),0)&gt;0,"#Cleric",""),IF(IFERROR(MATCH(SUBSTITUTE(A304,".md",""),'Druid Spells'!A:A,0),0)&gt;0,"#Druid",""),IF(IFERROR(MATCH(SUBSTITUTE(A304,".md",""),'Paladin Spells'!A:A,0),0)&gt;0,"#Paladin",""),IF(IFERROR(MATCH(SUBSTITUTE(A304,".md",""),'Ranger Spells'!A:A,0),0)&gt;0,"#Ranger",""),IF(IFERROR(MATCH(SUBSTITUTE(A304,".md",""),'Sorcerer Spells'!A:A,0),0)&gt;0,"#Sorcerer",""),IF(IFERROR(MATCH(SUBSTITUTE(A304,".md",""),'Warlock Spells'!A:A,0),0)&gt;0,"#Warlock",""),IF(IFERROR(MATCH(SUBSTITUTE(A304,".md",""),'Wizard Spells'!A:A,0),0)&gt;0,"#Wizard",""))</f>
        <v>#Druid</v>
      </c>
    </row>
    <row r="305" spans="1:7" ht="150" x14ac:dyDescent="0.25">
      <c r="A305" t="s">
        <v>456</v>
      </c>
      <c r="B305" s="1" t="str">
        <f t="shared" si="16"/>
        <v>level 2 - #transmutation Casting Time: #BonusAction, which you take immediately after hitting a creature with a Melee weapon or an Unarmed Strike Range: Self Components: V Duration: #Concentration, up to 1 minute 
The target hit by the strike takes an extra 2d6 Radiant damage from the attack. Until the spell ends, the target sheds Bright Light in a 5-foot radius, attack rolls against it have Advantage, and it can't benefit from the Invisible condition. 
Using a Higher-Level Spell Slot. The damage increases by 1d6 for each spell slot level above 2_x000D_
#Paladin</v>
      </c>
      <c r="C305" t="str">
        <f t="shared" si="17"/>
        <v>level 2</v>
      </c>
      <c r="D305" s="1" t="s">
        <v>457</v>
      </c>
      <c r="E305" t="str">
        <f t="shared" si="18"/>
        <v>level 2</v>
      </c>
      <c r="F305" t="str">
        <f t="shared" si="19"/>
        <v>NULL</v>
      </c>
      <c r="G305" t="str">
        <f>_xlfn.TEXTJOIN(" ",TRUE,IF(IFERROR(MATCH(SUBSTITUTE(A305,".md",""),'Bard Spells'!A:A,0),0)&gt;0,"#Bard",""),IF(IFERROR(MATCH(SUBSTITUTE(A305,".md",""),'Cleric Spells'!A:A,0),0)&gt;0,"#Cleric",""),IF(IFERROR(MATCH(SUBSTITUTE(A305,".md",""),'Druid Spells'!A:A,0),0)&gt;0,"#Druid",""),IF(IFERROR(MATCH(SUBSTITUTE(A305,".md",""),'Paladin Spells'!A:A,0),0)&gt;0,"#Paladin",""),IF(IFERROR(MATCH(SUBSTITUTE(A305,".md",""),'Ranger Spells'!A:A,0),0)&gt;0,"#Ranger",""),IF(IFERROR(MATCH(SUBSTITUTE(A305,".md",""),'Sorcerer Spells'!A:A,0),0)&gt;0,"#Sorcerer",""),IF(IFERROR(MATCH(SUBSTITUTE(A305,".md",""),'Warlock Spells'!A:A,0),0)&gt;0,"#Warlock",""),IF(IFERROR(MATCH(SUBSTITUTE(A305,".md",""),'Wizard Spells'!A:A,0),0)&gt;0,"#Wizard",""))</f>
        <v>#Paladin</v>
      </c>
    </row>
    <row r="306" spans="1:7" ht="135" x14ac:dyDescent="0.25">
      <c r="A306" t="s">
        <v>458</v>
      </c>
      <c r="B306" s="1" t="str">
        <f t="shared" si="16"/>
        <v>level 0 - #evocation Casting Time: Action Range: Touch Components: V, S Duration: Instantaneous 
Lightning springs from you to a creature that you try to touch. Make a melee spell attack against the target. On a hit, the target takes 1d8 Lightning damage, and it can't make Opportunity Attacks until the start of its next turn. 
Cantrip Upgrade. The damage increases by 1d8 when you reach levels 5 (2d8), 11 (3d8), and 17 (4d8)_x000D_
#Sorcerer #Wizard</v>
      </c>
      <c r="C306" t="str">
        <f t="shared" si="17"/>
        <v>level 0</v>
      </c>
      <c r="D306" s="1" t="s">
        <v>643</v>
      </c>
      <c r="E306" t="str">
        <f t="shared" si="18"/>
        <v>level 0</v>
      </c>
      <c r="F306" t="str">
        <f t="shared" si="19"/>
        <v>NULL</v>
      </c>
      <c r="G306" t="str">
        <f>_xlfn.TEXTJOIN(" ",TRUE,IF(IFERROR(MATCH(SUBSTITUTE(A306,".md",""),'Bard Spells'!A:A,0),0)&gt;0,"#Bard",""),IF(IFERROR(MATCH(SUBSTITUTE(A306,".md",""),'Cleric Spells'!A:A,0),0)&gt;0,"#Cleric",""),IF(IFERROR(MATCH(SUBSTITUTE(A306,".md",""),'Druid Spells'!A:A,0),0)&gt;0,"#Druid",""),IF(IFERROR(MATCH(SUBSTITUTE(A306,".md",""),'Paladin Spells'!A:A,0),0)&gt;0,"#Paladin",""),IF(IFERROR(MATCH(SUBSTITUTE(A306,".md",""),'Ranger Spells'!A:A,0),0)&gt;0,"#Ranger",""),IF(IFERROR(MATCH(SUBSTITUTE(A306,".md",""),'Sorcerer Spells'!A:A,0),0)&gt;0,"#Sorcerer",""),IF(IFERROR(MATCH(SUBSTITUTE(A306,".md",""),'Warlock Spells'!A:A,0),0)&gt;0,"#Warlock",""),IF(IFERROR(MATCH(SUBSTITUTE(A306,".md",""),'Wizard Spells'!A:A,0),0)&gt;0,"#Wizard",""))</f>
        <v>#Sorcerer #Wizard</v>
      </c>
    </row>
    <row r="307" spans="1:7" ht="105" x14ac:dyDescent="0.25">
      <c r="A307" t="s">
        <v>459</v>
      </c>
      <c r="B307" s="1" t="str">
        <f t="shared" si="16"/>
        <v>level 2 - #illusion ( #ritual ) Casting Time: Action or Ritual Range: 120 feet Components: V, S Duration: #Concentration, up to 10 minutes 
For the duration, no sound can be created within or pass through a 20-foot-radius Sphere centered on a point you choose within range. Any creature or object entirely inside the Sphere has Immunity to Thunder damage, and creatures have the Deafened condition while entirely inside it. Casting a spell that includes a Verbal component is impossible there._x000D_
#Bard #Cleric #Ranger</v>
      </c>
      <c r="C307" t="str">
        <f t="shared" si="17"/>
        <v>level 2</v>
      </c>
      <c r="D307" s="1" t="s">
        <v>460</v>
      </c>
      <c r="E307" t="str">
        <f t="shared" si="18"/>
        <v>level 2</v>
      </c>
      <c r="F307" t="str">
        <f t="shared" si="19"/>
        <v>NULL</v>
      </c>
      <c r="G307" t="str">
        <f>_xlfn.TEXTJOIN(" ",TRUE,IF(IFERROR(MATCH(SUBSTITUTE(A307,".md",""),'Bard Spells'!A:A,0),0)&gt;0,"#Bard",""),IF(IFERROR(MATCH(SUBSTITUTE(A307,".md",""),'Cleric Spells'!A:A,0),0)&gt;0,"#Cleric",""),IF(IFERROR(MATCH(SUBSTITUTE(A307,".md",""),'Druid Spells'!A:A,0),0)&gt;0,"#Druid",""),IF(IFERROR(MATCH(SUBSTITUTE(A307,".md",""),'Paladin Spells'!A:A,0),0)&gt;0,"#Paladin",""),IF(IFERROR(MATCH(SUBSTITUTE(A307,".md",""),'Ranger Spells'!A:A,0),0)&gt;0,"#Ranger",""),IF(IFERROR(MATCH(SUBSTITUTE(A307,".md",""),'Sorcerer Spells'!A:A,0),0)&gt;0,"#Sorcerer",""),IF(IFERROR(MATCH(SUBSTITUTE(A307,".md",""),'Warlock Spells'!A:A,0),0)&gt;0,"#Warlock",""),IF(IFERROR(MATCH(SUBSTITUTE(A307,".md",""),'Wizard Spells'!A:A,0),0)&gt;0,"#Wizard",""))</f>
        <v>#Bard #Cleric #Ranger</v>
      </c>
    </row>
    <row r="308" spans="1:7" ht="165" x14ac:dyDescent="0.25">
      <c r="A308" t="s">
        <v>461</v>
      </c>
      <c r="B308" s="1" t="str">
        <f t="shared" si="16"/>
        <v>level 1 - #illusion Casting Time: Action Range: 60 feet Components: V, S, M (a bit of fleece) Duration: #Concentration, up to 10 minutes 
You create the image of an object, a creature, or some other visible phenomenon that is no larger than a 15-foot Cube. The image appears at a spot within range and lasts for the duration. The image is purely visual; it isn't accompanied by sound, smell, or other sensory effects. 
As a Magic action, you can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since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image._x000D_
#Bard #Sorcerer #Wizard</v>
      </c>
      <c r="C308" t="str">
        <f t="shared" si="17"/>
        <v>level 1</v>
      </c>
      <c r="D308" s="1" t="s">
        <v>462</v>
      </c>
      <c r="E308" t="str">
        <f t="shared" si="18"/>
        <v>level 1</v>
      </c>
      <c r="F308" t="str">
        <f t="shared" si="19"/>
        <v>NULL</v>
      </c>
      <c r="G308" t="str">
        <f>_xlfn.TEXTJOIN(" ",TRUE,IF(IFERROR(MATCH(SUBSTITUTE(A308,".md",""),'Bard Spells'!A:A,0),0)&gt;0,"#Bard",""),IF(IFERROR(MATCH(SUBSTITUTE(A308,".md",""),'Cleric Spells'!A:A,0),0)&gt;0,"#Cleric",""),IF(IFERROR(MATCH(SUBSTITUTE(A308,".md",""),'Druid Spells'!A:A,0),0)&gt;0,"#Druid",""),IF(IFERROR(MATCH(SUBSTITUTE(A308,".md",""),'Paladin Spells'!A:A,0),0)&gt;0,"#Paladin",""),IF(IFERROR(MATCH(SUBSTITUTE(A308,".md",""),'Ranger Spells'!A:A,0),0)&gt;0,"#Ranger",""),IF(IFERROR(MATCH(SUBSTITUTE(A308,".md",""),'Sorcerer Spells'!A:A,0),0)&gt;0,"#Sorcerer",""),IF(IFERROR(MATCH(SUBSTITUTE(A308,".md",""),'Warlock Spells'!A:A,0),0)&gt;0,"#Warlock",""),IF(IFERROR(MATCH(SUBSTITUTE(A308,".md",""),'Wizard Spells'!A:A,0),0)&gt;0,"#Wizard",""))</f>
        <v>#Bard #Sorcerer #Wizard</v>
      </c>
    </row>
    <row r="309" spans="1:7" ht="180" x14ac:dyDescent="0.25">
      <c r="A309" t="s">
        <v>463</v>
      </c>
      <c r="B309" s="1" t="str">
        <f t="shared" si="16"/>
        <v>level 7 - #illusion Casting Time: 12 hours Range: Touch Components: V, S, M (powdered ruby worth 1,500+ GP, which the spells consumes) Duration: Until dispelled 
You create a simulacrum of one Beast or Humanoid that is within 10 feet of you for the entire casting of the spell. You finish the casting by touching both the creature and a pile of ice or snow that is the same size as that creature, and the pile turns into the simulacrum, which is a creature. It uses the game statistics of the original creature at the time of casting, except it is a Construct, its Hit Point maximum is half as much, and it can't cast this spell.
The simulacrum is Friendly to you and creatures you designate. It obeys your commands and acts on your turn in combat. The simulacrum can't gain levels, and it can't take Short or Long Rests. If the simulacrum takes damage, the only way to restore its Hit Points is to repair it as you take a Long Rest, during which you expend components worth 100 GP per Hit Point restored. The simulacrum must stay within 5 feet of you for the repair.
The simulacrum lasts until it drops to 0 Hit Points, at which point it reverts to snow and melts away. If you cast this spell again, any simulacrum you created with this spell is instantly destroyed_x000D_
#Wizard</v>
      </c>
      <c r="C309" t="str">
        <f t="shared" si="17"/>
        <v>level 7</v>
      </c>
      <c r="D309" s="1" t="s">
        <v>464</v>
      </c>
      <c r="E309" t="str">
        <f t="shared" si="18"/>
        <v>level 7</v>
      </c>
      <c r="F309" t="str">
        <f t="shared" si="19"/>
        <v>NULL</v>
      </c>
      <c r="G309" t="str">
        <f>_xlfn.TEXTJOIN(" ",TRUE,IF(IFERROR(MATCH(SUBSTITUTE(A309,".md",""),'Bard Spells'!A:A,0),0)&gt;0,"#Bard",""),IF(IFERROR(MATCH(SUBSTITUTE(A309,".md",""),'Cleric Spells'!A:A,0),0)&gt;0,"#Cleric",""),IF(IFERROR(MATCH(SUBSTITUTE(A309,".md",""),'Druid Spells'!A:A,0),0)&gt;0,"#Druid",""),IF(IFERROR(MATCH(SUBSTITUTE(A309,".md",""),'Paladin Spells'!A:A,0),0)&gt;0,"#Paladin",""),IF(IFERROR(MATCH(SUBSTITUTE(A309,".md",""),'Ranger Spells'!A:A,0),0)&gt;0,"#Ranger",""),IF(IFERROR(MATCH(SUBSTITUTE(A309,".md",""),'Sorcerer Spells'!A:A,0),0)&gt;0,"#Sorcerer",""),IF(IFERROR(MATCH(SUBSTITUTE(A309,".md",""),'Warlock Spells'!A:A,0),0)&gt;0,"#Warlock",""),IF(IFERROR(MATCH(SUBSTITUTE(A309,".md",""),'Wizard Spells'!A:A,0),0)&gt;0,"#Wizard",""))</f>
        <v>#Wizard</v>
      </c>
    </row>
    <row r="310" spans="1:7" ht="135" x14ac:dyDescent="0.25">
      <c r="A310" t="s">
        <v>465</v>
      </c>
      <c r="B310" s="1" t="str">
        <f t="shared" si="16"/>
        <v>level 1 - #enchantment Casting Time: Action Range: 60 feet Components: V, S, M (a pinch of sand or rose petals) Duration: #Concentration, up to 1 minute 
Each creature of your choice in a 5-foot-radius Sphere centered on a point within range must succeed on a Wisdom saving throw or have the Incapacitated condition until the end of its next turn, at which point it must repeat the save. If the target fails the second save, the target has the Unconscious condition for the duration. The spell ends on a target if it takes damage or someone within 5 feet of it takes an action to shake it out of the spell's effect.
Creatures that don't sleep, such as elves, or that have Immunity to the Exhaustion condition automatically succeed on saves against this spell_x000D_
#Bard #Sorcerer #Wizard</v>
      </c>
      <c r="C310" t="str">
        <f t="shared" si="17"/>
        <v>level 1</v>
      </c>
      <c r="D310" s="1" t="s">
        <v>698</v>
      </c>
      <c r="E310" t="str">
        <f t="shared" si="18"/>
        <v>level 1</v>
      </c>
      <c r="F310" t="str">
        <f t="shared" si="19"/>
        <v>NULL</v>
      </c>
      <c r="G310" t="str">
        <f>_xlfn.TEXTJOIN(" ",TRUE,IF(IFERROR(MATCH(SUBSTITUTE(A310,".md",""),'Bard Spells'!A:A,0),0)&gt;0,"#Bard",""),IF(IFERROR(MATCH(SUBSTITUTE(A310,".md",""),'Cleric Spells'!A:A,0),0)&gt;0,"#Cleric",""),IF(IFERROR(MATCH(SUBSTITUTE(A310,".md",""),'Druid Spells'!A:A,0),0)&gt;0,"#Druid",""),IF(IFERROR(MATCH(SUBSTITUTE(A310,".md",""),'Paladin Spells'!A:A,0),0)&gt;0,"#Paladin",""),IF(IFERROR(MATCH(SUBSTITUTE(A310,".md",""),'Ranger Spells'!A:A,0),0)&gt;0,"#Ranger",""),IF(IFERROR(MATCH(SUBSTITUTE(A310,".md",""),'Sorcerer Spells'!A:A,0),0)&gt;0,"#Sorcerer",""),IF(IFERROR(MATCH(SUBSTITUTE(A310,".md",""),'Warlock Spells'!A:A,0),0)&gt;0,"#Warlock",""),IF(IFERROR(MATCH(SUBSTITUTE(A310,".md",""),'Wizard Spells'!A:A,0),0)&gt;0,"#Wizard",""))</f>
        <v>#Bard #Sorcerer #Wizard</v>
      </c>
    </row>
    <row r="311" spans="1:7" ht="105" x14ac:dyDescent="0.25">
      <c r="A311" t="s">
        <v>466</v>
      </c>
      <c r="B311" s="1" t="str">
        <f t="shared" si="16"/>
        <v>level 3 - #conjuration Casting Time: Action Range: 150 feet Components: V, S, M (a miniature umbrella) Duration: #Concentration, up to 1 minute 
Until the spell ends, sleet falls in a 40-foot-tall, 20-foot-radius Cylinder centered on a point you choose within range. The area is Heavily Obscured, and exposed flames in the area are doused. Ground in the Cylinder is Difficult Terrain. When a creature enters the Cylinder for the first time on a turn or starts its turn there, it must succeed on a Dexterity saving throw or have the Prone condition and lose #Concentration_x000D_
#Druid #Sorcerer #Wizard</v>
      </c>
      <c r="C311" t="str">
        <f t="shared" si="17"/>
        <v>level 3</v>
      </c>
      <c r="D311" s="1" t="s">
        <v>704</v>
      </c>
      <c r="E311" t="str">
        <f t="shared" si="18"/>
        <v>level 3</v>
      </c>
      <c r="F311" t="str">
        <f t="shared" si="19"/>
        <v>NULL</v>
      </c>
      <c r="G311" t="str">
        <f>_xlfn.TEXTJOIN(" ",TRUE,IF(IFERROR(MATCH(SUBSTITUTE(A311,".md",""),'Bard Spells'!A:A,0),0)&gt;0,"#Bard",""),IF(IFERROR(MATCH(SUBSTITUTE(A311,".md",""),'Cleric Spells'!A:A,0),0)&gt;0,"#Cleric",""),IF(IFERROR(MATCH(SUBSTITUTE(A311,".md",""),'Druid Spells'!A:A,0),0)&gt;0,"#Druid",""),IF(IFERROR(MATCH(SUBSTITUTE(A311,".md",""),'Paladin Spells'!A:A,0),0)&gt;0,"#Paladin",""),IF(IFERROR(MATCH(SUBSTITUTE(A311,".md",""),'Ranger Spells'!A:A,0),0)&gt;0,"#Ranger",""),IF(IFERROR(MATCH(SUBSTITUTE(A311,".md",""),'Sorcerer Spells'!A:A,0),0)&gt;0,"#Sorcerer",""),IF(IFERROR(MATCH(SUBSTITUTE(A311,".md",""),'Warlock Spells'!A:A,0),0)&gt;0,"#Warlock",""),IF(IFERROR(MATCH(SUBSTITUTE(A311,".md",""),'Wizard Spells'!A:A,0),0)&gt;0,"#Wizard",""))</f>
        <v>#Druid #Sorcerer #Wizard</v>
      </c>
    </row>
    <row r="312" spans="1:7" ht="135" x14ac:dyDescent="0.25">
      <c r="A312" t="s">
        <v>467</v>
      </c>
      <c r="B312" s="1" t="str">
        <f t="shared" si="16"/>
        <v>level 3 - #transmutation Casting Time: Action Range: 120 feet Components: V, S, M (a drop of molasses) Duration: #Concentration, up to 1 minute 
You alter time around up to six creatures of your choice in a 40- foot Cube within range. Each target must succeed on a Wisdom saving throw or be affected by this spell for the duration. 
An affected target's Speed is halved, it takes a âˆ’2 penalty to AC and Dexterity saving throws, and it can't take Reactions. On its turns, it can take either an action or a Bonus Action, not both, and it can make only one attack if it takes the Attack action. If it casts a spell with a Somatic component, there is a 25 percent chance the spell fails as a result of the target making the spell's gestures too slowly. 
An affected target repeats the save at the end of each of its turns, ending the spell on itself on a success_x000D_
#Bard #Sorcerer #Wizard</v>
      </c>
      <c r="C312" t="str">
        <f t="shared" si="17"/>
        <v>level 3</v>
      </c>
      <c r="D312" s="1" t="s">
        <v>468</v>
      </c>
      <c r="E312" t="str">
        <f t="shared" si="18"/>
        <v>level 3</v>
      </c>
      <c r="F312" t="str">
        <f t="shared" si="19"/>
        <v>NULL</v>
      </c>
      <c r="G312" t="str">
        <f>_xlfn.TEXTJOIN(" ",TRUE,IF(IFERROR(MATCH(SUBSTITUTE(A312,".md",""),'Bard Spells'!A:A,0),0)&gt;0,"#Bard",""),IF(IFERROR(MATCH(SUBSTITUTE(A312,".md",""),'Cleric Spells'!A:A,0),0)&gt;0,"#Cleric",""),IF(IFERROR(MATCH(SUBSTITUTE(A312,".md",""),'Druid Spells'!A:A,0),0)&gt;0,"#Druid",""),IF(IFERROR(MATCH(SUBSTITUTE(A312,".md",""),'Paladin Spells'!A:A,0),0)&gt;0,"#Paladin",""),IF(IFERROR(MATCH(SUBSTITUTE(A312,".md",""),'Ranger Spells'!A:A,0),0)&gt;0,"#Ranger",""),IF(IFERROR(MATCH(SUBSTITUTE(A312,".md",""),'Sorcerer Spells'!A:A,0),0)&gt;0,"#Sorcerer",""),IF(IFERROR(MATCH(SUBSTITUTE(A312,".md",""),'Warlock Spells'!A:A,0),0)&gt;0,"#Warlock",""),IF(IFERROR(MATCH(SUBSTITUTE(A312,".md",""),'Wizard Spells'!A:A,0),0)&gt;0,"#Wizard",""))</f>
        <v>#Bard #Sorcerer #Wizard</v>
      </c>
    </row>
    <row r="313" spans="1:7" ht="165" x14ac:dyDescent="0.25">
      <c r="A313" t="s">
        <v>469</v>
      </c>
      <c r="B313" s="1" t="str">
        <f t="shared" si="16"/>
        <v>level 0 - #evocation Casting Time: Action Range: 120 feet Components: V, S Duration: Instantaneous 
You cast sorcerous energy at one creature or object within range. Make a ranged attack roll against the target. On a hit, the target takes 1d8 damage of a type you choose: Acid, Cold, Fire, Lightning, Poison, Psychic, or Thunder. 
If you roll an 8 on a d8 for this spell, you can roll another d8, and add it to the damage. When you cast this spell, the maximum number of these d8s you can add to the spell's damage equals your spellcasting ability modifier. 
Cantrip Upgrade. This damage increases by 1d8 when you reach level 5 (2d8), 11 (3d8), and 17 (4d8)._x000D_
#Sorcerer</v>
      </c>
      <c r="C313" t="str">
        <f t="shared" si="17"/>
        <v>level 0</v>
      </c>
      <c r="D313" s="1" t="s">
        <v>470</v>
      </c>
      <c r="E313" t="str">
        <f t="shared" si="18"/>
        <v>level 0</v>
      </c>
      <c r="F313" t="str">
        <f t="shared" si="19"/>
        <v>NULL</v>
      </c>
      <c r="G313" t="str">
        <f>_xlfn.TEXTJOIN(" ",TRUE,IF(IFERROR(MATCH(SUBSTITUTE(A313,".md",""),'Bard Spells'!A:A,0),0)&gt;0,"#Bard",""),IF(IFERROR(MATCH(SUBSTITUTE(A313,".md",""),'Cleric Spells'!A:A,0),0)&gt;0,"#Cleric",""),IF(IFERROR(MATCH(SUBSTITUTE(A313,".md",""),'Druid Spells'!A:A,0),0)&gt;0,"#Druid",""),IF(IFERROR(MATCH(SUBSTITUTE(A313,".md",""),'Paladin Spells'!A:A,0),0)&gt;0,"#Paladin",""),IF(IFERROR(MATCH(SUBSTITUTE(A313,".md",""),'Ranger Spells'!A:A,0),0)&gt;0,"#Ranger",""),IF(IFERROR(MATCH(SUBSTITUTE(A313,".md",""),'Sorcerer Spells'!A:A,0),0)&gt;0,"#Sorcerer",""),IF(IFERROR(MATCH(SUBSTITUTE(A313,".md",""),'Warlock Spells'!A:A,0),0)&gt;0,"#Warlock",""),IF(IFERROR(MATCH(SUBSTITUTE(A313,".md",""),'Wizard Spells'!A:A,0),0)&gt;0,"#Wizard",""))</f>
        <v>#Sorcerer</v>
      </c>
    </row>
    <row r="314" spans="1:7" ht="120" x14ac:dyDescent="0.25">
      <c r="A314" t="s">
        <v>471</v>
      </c>
      <c r="B314" s="1" t="str">
        <f t="shared" si="16"/>
        <v>level 0 - #necromancy Casting Time: Action Range: 15 feet Components: V, S Duration: Instantaneous 
Choose a creature within range that has 0 Hit Points and isn't dead. The creature becomes Stable. 
Cantrip Upgrade. The range doubles when you reach levels 5 (30 feet), 11 (60 feet), and 17 (120 feet)_x000D_
#Cleric #Druid</v>
      </c>
      <c r="C314" t="str">
        <f t="shared" si="17"/>
        <v>level 0</v>
      </c>
      <c r="D314" s="1" t="s">
        <v>472</v>
      </c>
      <c r="E314" t="str">
        <f t="shared" si="18"/>
        <v>level 0</v>
      </c>
      <c r="F314" t="str">
        <f t="shared" si="19"/>
        <v>NULL</v>
      </c>
      <c r="G314" t="str">
        <f>_xlfn.TEXTJOIN(" ",TRUE,IF(IFERROR(MATCH(SUBSTITUTE(A314,".md",""),'Bard Spells'!A:A,0),0)&gt;0,"#Bard",""),IF(IFERROR(MATCH(SUBSTITUTE(A314,".md",""),'Cleric Spells'!A:A,0),0)&gt;0,"#Cleric",""),IF(IFERROR(MATCH(SUBSTITUTE(A314,".md",""),'Druid Spells'!A:A,0),0)&gt;0,"#Druid",""),IF(IFERROR(MATCH(SUBSTITUTE(A314,".md",""),'Paladin Spells'!A:A,0),0)&gt;0,"#Paladin",""),IF(IFERROR(MATCH(SUBSTITUTE(A314,".md",""),'Ranger Spells'!A:A,0),0)&gt;0,"#Ranger",""),IF(IFERROR(MATCH(SUBSTITUTE(A314,".md",""),'Sorcerer Spells'!A:A,0),0)&gt;0,"#Sorcerer",""),IF(IFERROR(MATCH(SUBSTITUTE(A314,".md",""),'Warlock Spells'!A:A,0),0)&gt;0,"#Warlock",""),IF(IFERROR(MATCH(SUBSTITUTE(A314,".md",""),'Wizard Spells'!A:A,0),0)&gt;0,"#Wizard",""))</f>
        <v>#Cleric #Druid</v>
      </c>
    </row>
    <row r="315" spans="1:7" ht="120" x14ac:dyDescent="0.25">
      <c r="A315" t="s">
        <v>473</v>
      </c>
      <c r="B315" s="1" t="str">
        <f t="shared" si="16"/>
        <v>level 1 - #divination ( #ritual ) Casting Time: Action or Ritual Range: Self Components: V, S Duration: 10 minutes 
For the duration, you can comprehend and verbally communicate with Beasts, and you can use any of the Influence action's skill options with them. 
Most Beasts have little to say about topics that don't pertain to survival or companionship, but at minimum, a Beast can give you information about nearby locations and monsters, including whatever it has perceived within the past day._x000D_
#Bard #Druid #Ranger #Warlock</v>
      </c>
      <c r="C315" t="str">
        <f t="shared" si="17"/>
        <v>level 1</v>
      </c>
      <c r="D315" s="1" t="s">
        <v>657</v>
      </c>
      <c r="E315" t="str">
        <f t="shared" si="18"/>
        <v>level 1</v>
      </c>
      <c r="F315" t="str">
        <f t="shared" si="19"/>
        <v>NULL</v>
      </c>
      <c r="G315" t="str">
        <f>_xlfn.TEXTJOIN(" ",TRUE,IF(IFERROR(MATCH(SUBSTITUTE(A315,".md",""),'Bard Spells'!A:A,0),0)&gt;0,"#Bard",""),IF(IFERROR(MATCH(SUBSTITUTE(A315,".md",""),'Cleric Spells'!A:A,0),0)&gt;0,"#Cleric",""),IF(IFERROR(MATCH(SUBSTITUTE(A315,".md",""),'Druid Spells'!A:A,0),0)&gt;0,"#Druid",""),IF(IFERROR(MATCH(SUBSTITUTE(A315,".md",""),'Paladin Spells'!A:A,0),0)&gt;0,"#Paladin",""),IF(IFERROR(MATCH(SUBSTITUTE(A315,".md",""),'Ranger Spells'!A:A,0),0)&gt;0,"#Ranger",""),IF(IFERROR(MATCH(SUBSTITUTE(A315,".md",""),'Sorcerer Spells'!A:A,0),0)&gt;0,"#Sorcerer",""),IF(IFERROR(MATCH(SUBSTITUTE(A315,".md",""),'Warlock Spells'!A:A,0),0)&gt;0,"#Warlock",""),IF(IFERROR(MATCH(SUBSTITUTE(A315,".md",""),'Wizard Spells'!A:A,0),0)&gt;0,"#Wizard",""))</f>
        <v>#Bard #Druid #Ranger #Warlock</v>
      </c>
    </row>
    <row r="316" spans="1:7" ht="150" x14ac:dyDescent="0.25">
      <c r="A316" t="s">
        <v>474</v>
      </c>
      <c r="B316" s="1" t="str">
        <f t="shared" si="16"/>
        <v>level 3 - #necromancy Casting Time: Action Range: 10 feet Components: V, S, M (burning incense) Duration: 10 minutes 
You grant the semblance of life to a corpse of your choice within range, allowing it to answer questions you pose. The corpse must have a mouth, and this spell fails if the deceased creature was Undead when it died. The spell also fails if the corpse was the target of this spell within the past 10 days. 
Until the spell ends, you can ask the corpse up to five questions. The corpse knows only what it knew in life, including the languages it knew. Answers are usually brief, cryptic, or repetitive, and the corpse is under no compulsion to offer a truthful answer if you are antagonistic toward it or it recognizes you as an enemy. This spell doesn't return the creature's soul to its body, only its animating spirit. Thus, the corpse can't learn new information, doesn't comprehend anything that has happened since it died, and can't speculate about future events._x000D_
#Bard #Cleric #Wizard</v>
      </c>
      <c r="C316" t="str">
        <f t="shared" si="17"/>
        <v>level 3</v>
      </c>
      <c r="D316" s="1" t="s">
        <v>475</v>
      </c>
      <c r="E316" t="str">
        <f t="shared" si="18"/>
        <v>level 3</v>
      </c>
      <c r="F316" t="str">
        <f t="shared" si="19"/>
        <v>NULL</v>
      </c>
      <c r="G316" t="str">
        <f>_xlfn.TEXTJOIN(" ",TRUE,IF(IFERROR(MATCH(SUBSTITUTE(A316,".md",""),'Bard Spells'!A:A,0),0)&gt;0,"#Bard",""),IF(IFERROR(MATCH(SUBSTITUTE(A316,".md",""),'Cleric Spells'!A:A,0),0)&gt;0,"#Cleric",""),IF(IFERROR(MATCH(SUBSTITUTE(A316,".md",""),'Druid Spells'!A:A,0),0)&gt;0,"#Druid",""),IF(IFERROR(MATCH(SUBSTITUTE(A316,".md",""),'Paladin Spells'!A:A,0),0)&gt;0,"#Paladin",""),IF(IFERROR(MATCH(SUBSTITUTE(A316,".md",""),'Ranger Spells'!A:A,0),0)&gt;0,"#Ranger",""),IF(IFERROR(MATCH(SUBSTITUTE(A316,".md",""),'Sorcerer Spells'!A:A,0),0)&gt;0,"#Sorcerer",""),IF(IFERROR(MATCH(SUBSTITUTE(A316,".md",""),'Warlock Spells'!A:A,0),0)&gt;0,"#Warlock",""),IF(IFERROR(MATCH(SUBSTITUTE(A316,".md",""),'Wizard Spells'!A:A,0),0)&gt;0,"#Wizard",""))</f>
        <v>#Bard #Cleric #Wizard</v>
      </c>
    </row>
    <row r="317" spans="1:7" ht="165" x14ac:dyDescent="0.25">
      <c r="A317" t="s">
        <v>476</v>
      </c>
      <c r="B317" s="1" t="str">
        <f t="shared" si="16"/>
        <v>level 3 - #transmutation Casting Time: Action Range: Self Components: V, S Duration: 10 minutes 
You imbue plants in an immobile 30-foot Emanation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The spell doesn't enable plants to uproot themselves and move about, but they can move their branches, tendrils, and stalks for you. 
If a Plant creature is in the area, you can communicate with it as if you shared a common language._x000D_
#Bard #Druid #Ranger</v>
      </c>
      <c r="C317" t="str">
        <f t="shared" si="17"/>
        <v>level 3</v>
      </c>
      <c r="D317" s="1" t="s">
        <v>477</v>
      </c>
      <c r="E317" t="str">
        <f t="shared" si="18"/>
        <v>level 3</v>
      </c>
      <c r="F317" t="str">
        <f t="shared" si="19"/>
        <v>NULL</v>
      </c>
      <c r="G317" t="str">
        <f>_xlfn.TEXTJOIN(" ",TRUE,IF(IFERROR(MATCH(SUBSTITUTE(A317,".md",""),'Bard Spells'!A:A,0),0)&gt;0,"#Bard",""),IF(IFERROR(MATCH(SUBSTITUTE(A317,".md",""),'Cleric Spells'!A:A,0),0)&gt;0,"#Cleric",""),IF(IFERROR(MATCH(SUBSTITUTE(A317,".md",""),'Druid Spells'!A:A,0),0)&gt;0,"#Druid",""),IF(IFERROR(MATCH(SUBSTITUTE(A317,".md",""),'Paladin Spells'!A:A,0),0)&gt;0,"#Paladin",""),IF(IFERROR(MATCH(SUBSTITUTE(A317,".md",""),'Ranger Spells'!A:A,0),0)&gt;0,"#Ranger",""),IF(IFERROR(MATCH(SUBSTITUTE(A317,".md",""),'Sorcerer Spells'!A:A,0),0)&gt;0,"#Sorcerer",""),IF(IFERROR(MATCH(SUBSTITUTE(A317,".md",""),'Warlock Spells'!A:A,0),0)&gt;0,"#Warlock",""),IF(IFERROR(MATCH(SUBSTITUTE(A317,".md",""),'Wizard Spells'!A:A,0),0)&gt;0,"#Wizard",""))</f>
        <v>#Bard #Druid #Ranger</v>
      </c>
    </row>
    <row r="318" spans="1:7" ht="135" x14ac:dyDescent="0.25">
      <c r="A318" t="s">
        <v>478</v>
      </c>
      <c r="B318" s="1" t="str">
        <f t="shared" si="16"/>
        <v>level 2 - #transmutation Casting Time: Action Range: Touch Components: V, S, M (a drop of bitumen and a spider) Duration: #Concentration, up to 1 hour 
Until the spell ends, one willing creature you touch gains the ability to move up, down, and across vertical surfaces and along ceilings, while leaving its hands free. The target also gains a Climb Speed equal to its Speed. 
Using a Higher-Level Spell Slot. You can target one additional creature for each spell slot level about 2._x000D_
#Sorcerer #Warlock #Wizard</v>
      </c>
      <c r="C318" t="str">
        <f t="shared" si="17"/>
        <v>level 2</v>
      </c>
      <c r="D318" s="1" t="s">
        <v>479</v>
      </c>
      <c r="E318" t="str">
        <f t="shared" si="18"/>
        <v>level 2</v>
      </c>
      <c r="F318" t="str">
        <f t="shared" si="19"/>
        <v>NULL</v>
      </c>
      <c r="G318" t="str">
        <f>_xlfn.TEXTJOIN(" ",TRUE,IF(IFERROR(MATCH(SUBSTITUTE(A318,".md",""),'Bard Spells'!A:A,0),0)&gt;0,"#Bard",""),IF(IFERROR(MATCH(SUBSTITUTE(A318,".md",""),'Cleric Spells'!A:A,0),0)&gt;0,"#Cleric",""),IF(IFERROR(MATCH(SUBSTITUTE(A318,".md",""),'Druid Spells'!A:A,0),0)&gt;0,"#Druid",""),IF(IFERROR(MATCH(SUBSTITUTE(A318,".md",""),'Paladin Spells'!A:A,0),0)&gt;0,"#Paladin",""),IF(IFERROR(MATCH(SUBSTITUTE(A318,".md",""),'Ranger Spells'!A:A,0),0)&gt;0,"#Ranger",""),IF(IFERROR(MATCH(SUBSTITUTE(A318,".md",""),'Sorcerer Spells'!A:A,0),0)&gt;0,"#Sorcerer",""),IF(IFERROR(MATCH(SUBSTITUTE(A318,".md",""),'Warlock Spells'!A:A,0),0)&gt;0,"#Warlock",""),IF(IFERROR(MATCH(SUBSTITUTE(A318,".md",""),'Wizard Spells'!A:A,0),0)&gt;0,"#Wizard",""))</f>
        <v>#Sorcerer #Warlock #Wizard</v>
      </c>
    </row>
    <row r="319" spans="1:7" ht="135" x14ac:dyDescent="0.25">
      <c r="A319" t="s">
        <v>480</v>
      </c>
      <c r="B319" s="1" t="str">
        <f t="shared" si="16"/>
        <v>level 2 - #transmutation Casting Time: Action Range: 150 feet Components: V, S, M (seven thorns) Duration: #Concentration, up to 10 minutes 
The ground in a 20-foot-radius Sphere centered on a point within range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when the spell is cast must take a Search action and succeed on a Wisdom (Perception or Survival) check against your spell save DC to recognize the terrain as hazardous before entering it_x000D_
#Druid #Ranger</v>
      </c>
      <c r="C319" t="str">
        <f t="shared" si="17"/>
        <v>level 2</v>
      </c>
      <c r="D319" s="1" t="s">
        <v>481</v>
      </c>
      <c r="E319" t="str">
        <f t="shared" si="18"/>
        <v>level 2</v>
      </c>
      <c r="F319" t="str">
        <f t="shared" si="19"/>
        <v>NULL</v>
      </c>
      <c r="G319" t="str">
        <f>_xlfn.TEXTJOIN(" ",TRUE,IF(IFERROR(MATCH(SUBSTITUTE(A319,".md",""),'Bard Spells'!A:A,0),0)&gt;0,"#Bard",""),IF(IFERROR(MATCH(SUBSTITUTE(A319,".md",""),'Cleric Spells'!A:A,0),0)&gt;0,"#Cleric",""),IF(IFERROR(MATCH(SUBSTITUTE(A319,".md",""),'Druid Spells'!A:A,0),0)&gt;0,"#Druid",""),IF(IFERROR(MATCH(SUBSTITUTE(A319,".md",""),'Paladin Spells'!A:A,0),0)&gt;0,"#Paladin",""),IF(IFERROR(MATCH(SUBSTITUTE(A319,".md",""),'Ranger Spells'!A:A,0),0)&gt;0,"#Ranger",""),IF(IFERROR(MATCH(SUBSTITUTE(A319,".md",""),'Sorcerer Spells'!A:A,0),0)&gt;0,"#Sorcerer",""),IF(IFERROR(MATCH(SUBSTITUTE(A319,".md",""),'Warlock Spells'!A:A,0),0)&gt;0,"#Warlock",""),IF(IFERROR(MATCH(SUBSTITUTE(A319,".md",""),'Wizard Spells'!A:A,0),0)&gt;0,"#Wizard",""))</f>
        <v>#Druid #Ranger</v>
      </c>
    </row>
    <row r="320" spans="1:7" ht="165" x14ac:dyDescent="0.25">
      <c r="A320" t="s">
        <v>482</v>
      </c>
      <c r="B320" s="1" t="str">
        <f t="shared" si="16"/>
        <v>level 3 - #conjuration Casting Time: Action Range: Self Components: V, S, M (a prayer scroll) Duration: #Concentration, up to 10 minutes 
Protective spirits flit around you in a 15-foot Emanation for the duration. If you are good or neutral, their spectral form appears angelic or fey (your choice). If you are evil, they appear fiendish. When you cast this spell, you can designate creatures to be unaffected by it. Any other creature's Speed is halved in the Emanation, and whenever the Emanation enters a creature's space and whenever a creature enters the Emanation or ends its turn there, the creature must make a Wisdom saving throw. On a failed save, the creature takes 3d8 Radiant damage (if you are good or neutral) or 3d8 Necrotic damage (if you are evil). On a successful save, the creature takes half as much damage. A creature makes this save only once per turn. 
Using a Higher-Level Spell Slot. The damage increases by 1d8 for each spell slot level above 3_x000D_
#Cleric</v>
      </c>
      <c r="C320" t="str">
        <f t="shared" si="17"/>
        <v>level 3</v>
      </c>
      <c r="D320" s="1" t="s">
        <v>483</v>
      </c>
      <c r="E320" t="str">
        <f t="shared" si="18"/>
        <v>level 3</v>
      </c>
      <c r="F320" t="str">
        <f t="shared" si="19"/>
        <v>NULL</v>
      </c>
      <c r="G320" t="str">
        <f>_xlfn.TEXTJOIN(" ",TRUE,IF(IFERROR(MATCH(SUBSTITUTE(A320,".md",""),'Bard Spells'!A:A,0),0)&gt;0,"#Bard",""),IF(IFERROR(MATCH(SUBSTITUTE(A320,".md",""),'Cleric Spells'!A:A,0),0)&gt;0,"#Cleric",""),IF(IFERROR(MATCH(SUBSTITUTE(A320,".md",""),'Druid Spells'!A:A,0),0)&gt;0,"#Druid",""),IF(IFERROR(MATCH(SUBSTITUTE(A320,".md",""),'Paladin Spells'!A:A,0),0)&gt;0,"#Paladin",""),IF(IFERROR(MATCH(SUBSTITUTE(A320,".md",""),'Ranger Spells'!A:A,0),0)&gt;0,"#Ranger",""),IF(IFERROR(MATCH(SUBSTITUTE(A320,".md",""),'Sorcerer Spells'!A:A,0),0)&gt;0,"#Sorcerer",""),IF(IFERROR(MATCH(SUBSTITUTE(A320,".md",""),'Warlock Spells'!A:A,0),0)&gt;0,"#Warlock",""),IF(IFERROR(MATCH(SUBSTITUTE(A320,".md",""),'Wizard Spells'!A:A,0),0)&gt;0,"#Wizard",""))</f>
        <v>#Cleric</v>
      </c>
    </row>
    <row r="321" spans="1:7" ht="165" x14ac:dyDescent="0.25">
      <c r="A321" t="s">
        <v>484</v>
      </c>
      <c r="B321" s="1" t="str">
        <f t="shared" si="16"/>
        <v>level 2 - #evocation Casting Time: #BonusAction Range: 60 feet Components: V, S Duration: #Concentration, up to 1 minute 
You create a floating, spectral force that resembles a weapon of your choice and lasts for the duration. 
The force appears within range in a space of your choice, and you can immediately make one melee spell attack against one creature within 5 feet of the force. On a hit, the target takes Force damage equal to 1d8 plus your spellcasting ability modifier. 
As a Bonus Action on your later turns, you can move the force up to 20 feet and repeat the attack against a creature within 5 feet of it. 
Using a Higher-Level Spell Slot. The damage increases by 1d8 for every slot level above 2._x000D_
#Cleric</v>
      </c>
      <c r="C321" t="str">
        <f t="shared" si="17"/>
        <v>level 2</v>
      </c>
      <c r="D321" s="1" t="s">
        <v>1181</v>
      </c>
      <c r="E321" t="str">
        <f t="shared" si="18"/>
        <v>level 2</v>
      </c>
      <c r="F321" t="str">
        <f t="shared" si="19"/>
        <v>NULL</v>
      </c>
      <c r="G321" t="str">
        <f>_xlfn.TEXTJOIN(" ",TRUE,IF(IFERROR(MATCH(SUBSTITUTE(A321,".md",""),'Bard Spells'!A:A,0),0)&gt;0,"#Bard",""),IF(IFERROR(MATCH(SUBSTITUTE(A321,".md",""),'Cleric Spells'!A:A,0),0)&gt;0,"#Cleric",""),IF(IFERROR(MATCH(SUBSTITUTE(A321,".md",""),'Druid Spells'!A:A,0),0)&gt;0,"#Druid",""),IF(IFERROR(MATCH(SUBSTITUTE(A321,".md",""),'Paladin Spells'!A:A,0),0)&gt;0,"#Paladin",""),IF(IFERROR(MATCH(SUBSTITUTE(A321,".md",""),'Ranger Spells'!A:A,0),0)&gt;0,"#Ranger",""),IF(IFERROR(MATCH(SUBSTITUTE(A321,".md",""),'Sorcerer Spells'!A:A,0),0)&gt;0,"#Sorcerer",""),IF(IFERROR(MATCH(SUBSTITUTE(A321,".md",""),'Warlock Spells'!A:A,0),0)&gt;0,"#Warlock",""),IF(IFERROR(MATCH(SUBSTITUTE(A321,".md",""),'Wizard Spells'!A:A,0),0)&gt;0,"#Wizard",""))</f>
        <v>#Cleric</v>
      </c>
    </row>
    <row r="322" spans="1:7" ht="120" x14ac:dyDescent="0.25">
      <c r="A322" t="s">
        <v>485</v>
      </c>
      <c r="B322" s="1" t="str">
        <f t="shared" ref="B322:B385" si="20">D322&amp;CHAR(10)&amp;CHAR(10)&amp;G322</f>
        <v>level 4 - #enchantment Casting Time: #BonusAction, which you take immediately after hitting a creature with a Melee weapon or an Unarmed Strike Range: Self Components: V Duration: Instantaneous 
The target takes an extra 4d6 Psychic damage from the attack, and the target must succeed on a Wisdom saving throw or have the Stunned condition until the end of your next turn. 
Using a Higher-Level Spell Slot. The extra damage increases by 1d6 for each spell slot level above 4_x000D_
#Paladin</v>
      </c>
      <c r="C322" t="str">
        <f t="shared" ref="C322:C385" si="21">E322</f>
        <v>level 4</v>
      </c>
      <c r="D322" s="1" t="s">
        <v>486</v>
      </c>
      <c r="E322" t="str">
        <f t="shared" ref="E322:E385" si="22">LEFT(D322,7)</f>
        <v>level 4</v>
      </c>
      <c r="F322" t="str">
        <f t="shared" ref="F322:F385" si="23">IF(AND(ISNUMBER(SEARCH("- ", D322)), NOT(ISNUMBER(SEARCH("- #", D322)))), "Match", "NULL")</f>
        <v>NULL</v>
      </c>
      <c r="G322" t="str">
        <f>_xlfn.TEXTJOIN(" ",TRUE,IF(IFERROR(MATCH(SUBSTITUTE(A322,".md",""),'Bard Spells'!A:A,0),0)&gt;0,"#Bard",""),IF(IFERROR(MATCH(SUBSTITUTE(A322,".md",""),'Cleric Spells'!A:A,0),0)&gt;0,"#Cleric",""),IF(IFERROR(MATCH(SUBSTITUTE(A322,".md",""),'Druid Spells'!A:A,0),0)&gt;0,"#Druid",""),IF(IFERROR(MATCH(SUBSTITUTE(A322,".md",""),'Paladin Spells'!A:A,0),0)&gt;0,"#Paladin",""),IF(IFERROR(MATCH(SUBSTITUTE(A322,".md",""),'Ranger Spells'!A:A,0),0)&gt;0,"#Ranger",""),IF(IFERROR(MATCH(SUBSTITUTE(A322,".md",""),'Sorcerer Spells'!A:A,0),0)&gt;0,"#Sorcerer",""),IF(IFERROR(MATCH(SUBSTITUTE(A322,".md",""),'Warlock Spells'!A:A,0),0)&gt;0,"#Warlock",""),IF(IFERROR(MATCH(SUBSTITUTE(A322,".md",""),'Wizard Spells'!A:A,0),0)&gt;0,"#Wizard",""))</f>
        <v>#Paladin</v>
      </c>
    </row>
    <row r="323" spans="1:7" ht="135" x14ac:dyDescent="0.25">
      <c r="A323" t="s">
        <v>487</v>
      </c>
      <c r="B323" s="1" t="str">
        <f t="shared" si="20"/>
        <v>level 0 - #evocation Casting Time: Action Range: 60 feet Components: V, S Duration: Instantaneous 
You launch a mote of light at one creature or object within range. Make a ranged spell attack against the target. On a hit, the target takes 1d8 Radiant damage, and until the end of your next turn, it emits Dim Light in a 10-foot radius and can't benefit from the Invisible condition. 
Cantrip Upgrade. The damage increases by 1d8 when you reach levels 5 (2d8), 11 (3d8), and 17 (4d8)_x000D_
#Bard #Druid</v>
      </c>
      <c r="C323" t="str">
        <f t="shared" si="21"/>
        <v>level 0</v>
      </c>
      <c r="D323" s="1" t="s">
        <v>488</v>
      </c>
      <c r="E323" t="str">
        <f t="shared" si="22"/>
        <v>level 0</v>
      </c>
      <c r="F323" t="str">
        <f t="shared" si="23"/>
        <v>NULL</v>
      </c>
      <c r="G323" t="str">
        <f>_xlfn.TEXTJOIN(" ",TRUE,IF(IFERROR(MATCH(SUBSTITUTE(A323,".md",""),'Bard Spells'!A:A,0),0)&gt;0,"#Bard",""),IF(IFERROR(MATCH(SUBSTITUTE(A323,".md",""),'Cleric Spells'!A:A,0),0)&gt;0,"#Cleric",""),IF(IFERROR(MATCH(SUBSTITUTE(A323,".md",""),'Druid Spells'!A:A,0),0)&gt;0,"#Druid",""),IF(IFERROR(MATCH(SUBSTITUTE(A323,".md",""),'Paladin Spells'!A:A,0),0)&gt;0,"#Paladin",""),IF(IFERROR(MATCH(SUBSTITUTE(A323,".md",""),'Ranger Spells'!A:A,0),0)&gt;0,"#Ranger",""),IF(IFERROR(MATCH(SUBSTITUTE(A323,".md",""),'Sorcerer Spells'!A:A,0),0)&gt;0,"#Sorcerer",""),IF(IFERROR(MATCH(SUBSTITUTE(A323,".md",""),'Warlock Spells'!A:A,0),0)&gt;0,"#Warlock",""),IF(IFERROR(MATCH(SUBSTITUTE(A323,".md",""),'Wizard Spells'!A:A,0),0)&gt;0,"#Wizard",""))</f>
        <v>#Bard #Druid</v>
      </c>
    </row>
    <row r="324" spans="1:7" ht="90" x14ac:dyDescent="0.25">
      <c r="A324" t="s">
        <v>489</v>
      </c>
      <c r="B324" s="1" t="str">
        <f t="shared" si="20"/>
        <v>level 5 - #conjuration Casting Time: Action Range: 30 feet Components: S, M (a Melee weapon worth 1+ SP) Duration: Instantaneous 
Description not available (not OGL)_x000D_
#Ranger #Wizard</v>
      </c>
      <c r="C324" t="str">
        <f t="shared" si="21"/>
        <v>level 5</v>
      </c>
      <c r="D324" s="1" t="s">
        <v>490</v>
      </c>
      <c r="E324" t="str">
        <f t="shared" si="22"/>
        <v>level 5</v>
      </c>
      <c r="F324" t="str">
        <f t="shared" si="23"/>
        <v>NULL</v>
      </c>
      <c r="G324" t="str">
        <f>_xlfn.TEXTJOIN(" ",TRUE,IF(IFERROR(MATCH(SUBSTITUTE(A324,".md",""),'Bard Spells'!A:A,0),0)&gt;0,"#Bard",""),IF(IFERROR(MATCH(SUBSTITUTE(A324,".md",""),'Cleric Spells'!A:A,0),0)&gt;0,"#Cleric",""),IF(IFERROR(MATCH(SUBSTITUTE(A324,".md",""),'Druid Spells'!A:A,0),0)&gt;0,"#Druid",""),IF(IFERROR(MATCH(SUBSTITUTE(A324,".md",""),'Paladin Spells'!A:A,0),0)&gt;0,"#Paladin",""),IF(IFERROR(MATCH(SUBSTITUTE(A324,".md",""),'Ranger Spells'!A:A,0),0)&gt;0,"#Ranger",""),IF(IFERROR(MATCH(SUBSTITUTE(A324,".md",""),'Sorcerer Spells'!A:A,0),0)&gt;0,"#Sorcerer",""),IF(IFERROR(MATCH(SUBSTITUTE(A324,".md",""),'Warlock Spells'!A:A,0),0)&gt;0,"#Warlock",""),IF(IFERROR(MATCH(SUBSTITUTE(A324,".md",""),'Wizard Spells'!A:A,0),0)&gt;0,"#Wizard",""))</f>
        <v>#Ranger #Wizard</v>
      </c>
    </row>
    <row r="325" spans="1:7" ht="135" x14ac:dyDescent="0.25">
      <c r="A325" t="s">
        <v>491</v>
      </c>
      <c r="B325" s="1" t="str">
        <f t="shared" si="20"/>
        <v>level 3 - #conjuration Casting Time: Action Range: 90 feet Components: V, S, M (a rotten egg) Duration: #Concentration, up to 1 minute 
You create a 20-foot-radius Sphere of yellow, nauseating gas centered on a point within range. The cloud is Heavily Obscured. The cloud lingers in the air for the duration or until a strong wind (such as the one created by Gust of Wind) disperses it. 
Each creature that starts its turn in the Sphere must succeed on a Constitution saving throw or have the Poisoned condition until the end of the current turn. While Poisoned in this way, the creature can't take an action or a Bonus Action._x000D_
#Bard #Sorcerer #Wizard</v>
      </c>
      <c r="C325" t="str">
        <f t="shared" si="21"/>
        <v>level 3</v>
      </c>
      <c r="D325" s="1" t="s">
        <v>492</v>
      </c>
      <c r="E325" t="str">
        <f t="shared" si="22"/>
        <v>level 3</v>
      </c>
      <c r="F325" t="str">
        <f t="shared" si="23"/>
        <v>NULL</v>
      </c>
      <c r="G325" t="str">
        <f>_xlfn.TEXTJOIN(" ",TRUE,IF(IFERROR(MATCH(SUBSTITUTE(A325,".md",""),'Bard Spells'!A:A,0),0)&gt;0,"#Bard",""),IF(IFERROR(MATCH(SUBSTITUTE(A325,".md",""),'Cleric Spells'!A:A,0),0)&gt;0,"#Cleric",""),IF(IFERROR(MATCH(SUBSTITUTE(A325,".md",""),'Druid Spells'!A:A,0),0)&gt;0,"#Druid",""),IF(IFERROR(MATCH(SUBSTITUTE(A325,".md",""),'Paladin Spells'!A:A,0),0)&gt;0,"#Paladin",""),IF(IFERROR(MATCH(SUBSTITUTE(A325,".md",""),'Ranger Spells'!A:A,0),0)&gt;0,"#Ranger",""),IF(IFERROR(MATCH(SUBSTITUTE(A325,".md",""),'Sorcerer Spells'!A:A,0),0)&gt;0,"#Sorcerer",""),IF(IFERROR(MATCH(SUBSTITUTE(A325,".md",""),'Warlock Spells'!A:A,0),0)&gt;0,"#Warlock",""),IF(IFERROR(MATCH(SUBSTITUTE(A325,".md",""),'Wizard Spells'!A:A,0),0)&gt;0,"#Wizard",""))</f>
        <v>#Bard #Sorcerer #Wizard</v>
      </c>
    </row>
    <row r="326" spans="1:7" ht="120" x14ac:dyDescent="0.25">
      <c r="A326" t="s">
        <v>493</v>
      </c>
      <c r="B326" s="1" t="str">
        <f t="shared" si="20"/>
        <v>level 4 - #transmutation Casting Time: Action Range: Touch Components: V, S, M (soft clay) Duration: Instantaneous 
You touch a stone object of Medium size or smaller or a section of stone no more than 5 feet in any dimension and form it into any shape you like. For example, you could shape a large rock into a weapon, statue, or coffer, or you could make a small passage through a wall that is 5 feet thick. You could also shape a stone door or its frame to seal the door shut. The object you create can have up to two hinges and a latch, but finer mechanical detail isn't possible._x000D_
#Cleric #Druid #Wizard</v>
      </c>
      <c r="C326" t="str">
        <f t="shared" si="21"/>
        <v>level 4</v>
      </c>
      <c r="D326" s="1" t="s">
        <v>494</v>
      </c>
      <c r="E326" t="str">
        <f t="shared" si="22"/>
        <v>level 4</v>
      </c>
      <c r="F326" t="str">
        <f t="shared" si="23"/>
        <v>NULL</v>
      </c>
      <c r="G326" t="str">
        <f>_xlfn.TEXTJOIN(" ",TRUE,IF(IFERROR(MATCH(SUBSTITUTE(A326,".md",""),'Bard Spells'!A:A,0),0)&gt;0,"#Bard",""),IF(IFERROR(MATCH(SUBSTITUTE(A326,".md",""),'Cleric Spells'!A:A,0),0)&gt;0,"#Cleric",""),IF(IFERROR(MATCH(SUBSTITUTE(A326,".md",""),'Druid Spells'!A:A,0),0)&gt;0,"#Druid",""),IF(IFERROR(MATCH(SUBSTITUTE(A326,".md",""),'Paladin Spells'!A:A,0),0)&gt;0,"#Paladin",""),IF(IFERROR(MATCH(SUBSTITUTE(A326,".md",""),'Ranger Spells'!A:A,0),0)&gt;0,"#Ranger",""),IF(IFERROR(MATCH(SUBSTITUTE(A326,".md",""),'Sorcerer Spells'!A:A,0),0)&gt;0,"#Sorcerer",""),IF(IFERROR(MATCH(SUBSTITUTE(A326,".md",""),'Warlock Spells'!A:A,0),0)&gt;0,"#Warlock",""),IF(IFERROR(MATCH(SUBSTITUTE(A326,".md",""),'Wizard Spells'!A:A,0),0)&gt;0,"#Wizard",""))</f>
        <v>#Cleric #Druid #Wizard</v>
      </c>
    </row>
    <row r="327" spans="1:7" ht="90" x14ac:dyDescent="0.25">
      <c r="A327" t="s">
        <v>495</v>
      </c>
      <c r="B327" s="1" t="str">
        <f t="shared" si="20"/>
        <v>level 4 - #transmutation Casting Time: Action Range: Touch Components: V, S, M (diamond dust worth 100+ GP, which the spell consumes) Duration: #Concentration, up to 1 hour 
Until the spell ends, one willing creature you touch has Resistance to Bludgeoning, Piercing, and Slashing damage_x000D_
#Druid #Ranger #Sorcerer #Wizard</v>
      </c>
      <c r="C327" t="str">
        <f t="shared" si="21"/>
        <v>level 4</v>
      </c>
      <c r="D327" s="1" t="s">
        <v>496</v>
      </c>
      <c r="E327" t="str">
        <f t="shared" si="22"/>
        <v>level 4</v>
      </c>
      <c r="F327" t="str">
        <f t="shared" si="23"/>
        <v>NULL</v>
      </c>
      <c r="G327" t="str">
        <f>_xlfn.TEXTJOIN(" ",TRUE,IF(IFERROR(MATCH(SUBSTITUTE(A327,".md",""),'Bard Spells'!A:A,0),0)&gt;0,"#Bard",""),IF(IFERROR(MATCH(SUBSTITUTE(A327,".md",""),'Cleric Spells'!A:A,0),0)&gt;0,"#Cleric",""),IF(IFERROR(MATCH(SUBSTITUTE(A327,".md",""),'Druid Spells'!A:A,0),0)&gt;0,"#Druid",""),IF(IFERROR(MATCH(SUBSTITUTE(A327,".md",""),'Paladin Spells'!A:A,0),0)&gt;0,"#Paladin",""),IF(IFERROR(MATCH(SUBSTITUTE(A327,".md",""),'Ranger Spells'!A:A,0),0)&gt;0,"#Ranger",""),IF(IFERROR(MATCH(SUBSTITUTE(A327,".md",""),'Sorcerer Spells'!A:A,0),0)&gt;0,"#Sorcerer",""),IF(IFERROR(MATCH(SUBSTITUTE(A327,".md",""),'Warlock Spells'!A:A,0),0)&gt;0,"#Warlock",""),IF(IFERROR(MATCH(SUBSTITUTE(A327,".md",""),'Wizard Spells'!A:A,0),0)&gt;0,"#Wizard",""))</f>
        <v>#Druid #Ranger #Sorcerer #Wizard</v>
      </c>
    </row>
    <row r="328" spans="1:7" ht="210" x14ac:dyDescent="0.25">
      <c r="A328" t="s">
        <v>497</v>
      </c>
      <c r="B328" s="1" t="str">
        <f t="shared" si="20"/>
        <v>level 9 - #conjuration Casting Time: Action Range: 1 mile Components: V, S Duration: #Concentration, up to 1 minute 
A churning storm cloud forms for the duration, centered on a point within range and spreading to a radius of 300 feet. Each creature under the cloud when it appears must succeed on a Constitution saving throw or take 2d6 Thunder damage and have the Deafened condition for the duration. 
At the start of each of your later turns, the storm produces different effects, as detailed below. 
**Turn 2**. Acidic rain falls. Each creature and object under the cloud takes 4d6 Acid damage. 
**Turn 3**. You call six bolts of lightning from the cloud to strike six different creatures or objects beneath it. Each target makes a Dexterity saving throw, taking 10d6 Lightning damage on a failed save or half as much damage on a successful one. 
**Turn 4**. Hailstones rain down. Each creature under the cloud takes 2d6 Bludgeoning damage. 
**Turns 5-10**. Gusts and freezing rain assail the area under the cloud. Each creature there takes 1d6 Cold damage. Until the spell ends, the area is Difficult Terrain and Heavily Obscured, ranged attacks with weapons are impossible there, and strong wind blows through the area._x000D_
#Druid</v>
      </c>
      <c r="C328" t="str">
        <f t="shared" si="21"/>
        <v>level 9</v>
      </c>
      <c r="D328" s="1" t="s">
        <v>498</v>
      </c>
      <c r="E328" t="str">
        <f t="shared" si="22"/>
        <v>level 9</v>
      </c>
      <c r="F328" t="str">
        <f t="shared" si="23"/>
        <v>NULL</v>
      </c>
      <c r="G328" t="str">
        <f>_xlfn.TEXTJOIN(" ",TRUE,IF(IFERROR(MATCH(SUBSTITUTE(A328,".md",""),'Bard Spells'!A:A,0),0)&gt;0,"#Bard",""),IF(IFERROR(MATCH(SUBSTITUTE(A328,".md",""),'Cleric Spells'!A:A,0),0)&gt;0,"#Cleric",""),IF(IFERROR(MATCH(SUBSTITUTE(A328,".md",""),'Druid Spells'!A:A,0),0)&gt;0,"#Druid",""),IF(IFERROR(MATCH(SUBSTITUTE(A328,".md",""),'Paladin Spells'!A:A,0),0)&gt;0,"#Paladin",""),IF(IFERROR(MATCH(SUBSTITUTE(A328,".md",""),'Ranger Spells'!A:A,0),0)&gt;0,"#Ranger",""),IF(IFERROR(MATCH(SUBSTITUTE(A328,".md",""),'Sorcerer Spells'!A:A,0),0)&gt;0,"#Sorcerer",""),IF(IFERROR(MATCH(SUBSTITUTE(A328,".md",""),'Warlock Spells'!A:A,0),0)&gt;0,"#Warlock",""),IF(IFERROR(MATCH(SUBSTITUTE(A328,".md",""),'Wizard Spells'!A:A,0),0)&gt;0,"#Wizard",""))</f>
        <v>#Druid</v>
      </c>
    </row>
    <row r="329" spans="1:7" ht="150" x14ac:dyDescent="0.25">
      <c r="A329" t="s">
        <v>499</v>
      </c>
      <c r="B329" s="1" t="str">
        <f t="shared" si="20"/>
        <v>level 2 - #enchantment Casting Time: Action Range: 30 feet Components: V, M (a drop of honey) Duration: #Concentration, up to 8 hours 
You suggest a course of activityâ€”described in no more than 25 wordsâ€”to one creature you can see within range that can hear and understand you. The suggestion must sound achievable and not involve anything that would obviously deal damage to the target or its allies. For example, you could say, â€œFetch the key to the cult's treasure vault, and give the key to me.â€ Or you could say, â€œStop fighting, leave this library peacefully, and don't return.â€ 
The target must succeed on a Wisdom saving throw or have the Charmed condition for the duration or until you or your allies deal damage to the target. The Charmed target pursues the suggestion to the best of its ability. The suggested activity can continue for the entire duration, but if the suggested activity can be completed in a shorter time, the spell ends for the target upon completing it_x000D_
#Bard #Sorcerer #Warlock #Wizard</v>
      </c>
      <c r="C329" t="str">
        <f t="shared" si="21"/>
        <v>level 2</v>
      </c>
      <c r="D329" s="1" t="s">
        <v>500</v>
      </c>
      <c r="E329" t="str">
        <f t="shared" si="22"/>
        <v>level 2</v>
      </c>
      <c r="F329" t="str">
        <f t="shared" si="23"/>
        <v>NULL</v>
      </c>
      <c r="G329" t="str">
        <f>_xlfn.TEXTJOIN(" ",TRUE,IF(IFERROR(MATCH(SUBSTITUTE(A329,".md",""),'Bard Spells'!A:A,0),0)&gt;0,"#Bard",""),IF(IFERROR(MATCH(SUBSTITUTE(A329,".md",""),'Cleric Spells'!A:A,0),0)&gt;0,"#Cleric",""),IF(IFERROR(MATCH(SUBSTITUTE(A329,".md",""),'Druid Spells'!A:A,0),0)&gt;0,"#Druid",""),IF(IFERROR(MATCH(SUBSTITUTE(A329,".md",""),'Paladin Spells'!A:A,0),0)&gt;0,"#Paladin",""),IF(IFERROR(MATCH(SUBSTITUTE(A329,".md",""),'Ranger Spells'!A:A,0),0)&gt;0,"#Ranger",""),IF(IFERROR(MATCH(SUBSTITUTE(A329,".md",""),'Sorcerer Spells'!A:A,0),0)&gt;0,"#Sorcerer",""),IF(IFERROR(MATCH(SUBSTITUTE(A329,".md",""),'Warlock Spells'!A:A,0),0)&gt;0,"#Warlock",""),IF(IFERROR(MATCH(SUBSTITUTE(A329,".md",""),'Wizard Spells'!A:A,0),0)&gt;0,"#Wizard",""))</f>
        <v>#Bard #Sorcerer #Warlock #Wizard</v>
      </c>
    </row>
    <row r="330" spans="1:7" ht="165" x14ac:dyDescent="0.25">
      <c r="A330" t="s">
        <v>501</v>
      </c>
      <c r="B330" s="1" t="str">
        <f t="shared" si="20"/>
        <v>level 4 - #conjuration Casting Time: Action Range: 90 feet Components: V, S, M (a pickled tentacle and an eyeball in a platinum-inlaid vial worth 400+ GP) Duration: #Concentration, up to 1 hour 
You call forth an aberrant spirit. It manifests in an unoccupied space that you can see within range and uses the Aberrant Spirit stat block. When you cast the spell, choose Beholderkin, Mind Flayer, or Slaad. The creature resembles an Aberration of that kind, which determines certain details in its stat block. The creature disappears when it drops to 0 Hit Points or when the spell ends. 
The creature is an ally to you and your allies. In combat, it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#Warlock #Wizard</v>
      </c>
      <c r="C330" t="str">
        <f t="shared" si="21"/>
        <v>level 4</v>
      </c>
      <c r="D330" s="1" t="s">
        <v>502</v>
      </c>
      <c r="E330" t="str">
        <f t="shared" si="22"/>
        <v>level 4</v>
      </c>
      <c r="F330" t="str">
        <f t="shared" si="23"/>
        <v>NULL</v>
      </c>
      <c r="G330" t="str">
        <f>_xlfn.TEXTJOIN(" ",TRUE,IF(IFERROR(MATCH(SUBSTITUTE(A330,".md",""),'Bard Spells'!A:A,0),0)&gt;0,"#Bard",""),IF(IFERROR(MATCH(SUBSTITUTE(A330,".md",""),'Cleric Spells'!A:A,0),0)&gt;0,"#Cleric",""),IF(IFERROR(MATCH(SUBSTITUTE(A330,".md",""),'Druid Spells'!A:A,0),0)&gt;0,"#Druid",""),IF(IFERROR(MATCH(SUBSTITUTE(A330,".md",""),'Paladin Spells'!A:A,0),0)&gt;0,"#Paladin",""),IF(IFERROR(MATCH(SUBSTITUTE(A330,".md",""),'Ranger Spells'!A:A,0),0)&gt;0,"#Ranger",""),IF(IFERROR(MATCH(SUBSTITUTE(A330,".md",""),'Sorcerer Spells'!A:A,0),0)&gt;0,"#Sorcerer",""),IF(IFERROR(MATCH(SUBSTITUTE(A330,".md",""),'Warlock Spells'!A:A,0),0)&gt;0,"#Warlock",""),IF(IFERROR(MATCH(SUBSTITUTE(A330,".md",""),'Wizard Spells'!A:A,0),0)&gt;0,"#Wizard",""))</f>
        <v>#Warlock #Wizard</v>
      </c>
    </row>
    <row r="331" spans="1:7" ht="165" x14ac:dyDescent="0.25">
      <c r="A331" t="s">
        <v>503</v>
      </c>
      <c r="B331" s="1" t="str">
        <f t="shared" si="20"/>
        <v>level 2 - #conjuration Casting Time: Action Range: 90 feet Components: V, S, M (a feather, tuft of fur, and fish tail inside a gilded acorn worth 200+ GP) Duration: #Concentration, up to 1 hour 
You call forth a bestial spirit. It manifests in an unoccupied space that you can see within range and uses the Bestial Spirit stat block. When you cast the spell, choose an environment: Air, Land, or Water. The creature resembles an animal of your choice that is native to the chosen environment, which determines certain details in its stat block. The creature disappears when it drops to O Hit Points or when the spell ends. 
The creature is an ally to you and your allies. In combat, the creature shares your Initiative count, but it takes its turn immediately afler yours. It obeys your verbal commands (no action required by you). If you don't issue any, it takes the Dodge action and uses its movement to avoid danger. 
Using a Higher-Level Spell Slot. Use the spell slot's level for the spell's level in the stat block._x000D_
#Druid #Ranger</v>
      </c>
      <c r="C331" t="str">
        <f t="shared" si="21"/>
        <v>level 2</v>
      </c>
      <c r="D331" s="1" t="s">
        <v>504</v>
      </c>
      <c r="E331" t="str">
        <f t="shared" si="22"/>
        <v>level 2</v>
      </c>
      <c r="F331" t="str">
        <f t="shared" si="23"/>
        <v>NULL</v>
      </c>
      <c r="G331" t="str">
        <f>_xlfn.TEXTJOIN(" ",TRUE,IF(IFERROR(MATCH(SUBSTITUTE(A331,".md",""),'Bard Spells'!A:A,0),0)&gt;0,"#Bard",""),IF(IFERROR(MATCH(SUBSTITUTE(A331,".md",""),'Cleric Spells'!A:A,0),0)&gt;0,"#Cleric",""),IF(IFERROR(MATCH(SUBSTITUTE(A331,".md",""),'Druid Spells'!A:A,0),0)&gt;0,"#Druid",""),IF(IFERROR(MATCH(SUBSTITUTE(A331,".md",""),'Paladin Spells'!A:A,0),0)&gt;0,"#Paladin",""),IF(IFERROR(MATCH(SUBSTITUTE(A331,".md",""),'Ranger Spells'!A:A,0),0)&gt;0,"#Ranger",""),IF(IFERROR(MATCH(SUBSTITUTE(A331,".md",""),'Sorcerer Spells'!A:A,0),0)&gt;0,"#Sorcerer",""),IF(IFERROR(MATCH(SUBSTITUTE(A331,".md",""),'Warlock Spells'!A:A,0),0)&gt;0,"#Warlock",""),IF(IFERROR(MATCH(SUBSTITUTE(A331,".md",""),'Wizard Spells'!A:A,0),0)&gt;0,"#Wizard",""))</f>
        <v>#Druid #Ranger</v>
      </c>
    </row>
    <row r="332" spans="1:7" ht="165" x14ac:dyDescent="0.25">
      <c r="A332" t="s">
        <v>505</v>
      </c>
      <c r="B332" s="1" t="str">
        <f t="shared" si="20"/>
        <v>level 5 - #conjuration Casting Time: Action Range: 90 feet Components: V, S, M (a reliquary worth 500+ GP) Duration: #Concentration, up to 1 hour 
You call forth a Celestial spirit. It manifests in an angelic form in an unoccupied space that you can see within range and uses the Celestial Spirit stat block. When you cast the spell, choose Avenger or Defender. Your choice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#Cleric #Paladin</v>
      </c>
      <c r="C332" t="str">
        <f t="shared" si="21"/>
        <v>level 5</v>
      </c>
      <c r="D332" s="1" t="s">
        <v>506</v>
      </c>
      <c r="E332" t="str">
        <f t="shared" si="22"/>
        <v>level 5</v>
      </c>
      <c r="F332" t="str">
        <f t="shared" si="23"/>
        <v>NULL</v>
      </c>
      <c r="G332" t="str">
        <f>_xlfn.TEXTJOIN(" ",TRUE,IF(IFERROR(MATCH(SUBSTITUTE(A332,".md",""),'Bard Spells'!A:A,0),0)&gt;0,"#Bard",""),IF(IFERROR(MATCH(SUBSTITUTE(A332,".md",""),'Cleric Spells'!A:A,0),0)&gt;0,"#Cleric",""),IF(IFERROR(MATCH(SUBSTITUTE(A332,".md",""),'Druid Spells'!A:A,0),0)&gt;0,"#Druid",""),IF(IFERROR(MATCH(SUBSTITUTE(A332,".md",""),'Paladin Spells'!A:A,0),0)&gt;0,"#Paladin",""),IF(IFERROR(MATCH(SUBSTITUTE(A332,".md",""),'Ranger Spells'!A:A,0),0)&gt;0,"#Ranger",""),IF(IFERROR(MATCH(SUBSTITUTE(A332,".md",""),'Sorcerer Spells'!A:A,0),0)&gt;0,"#Sorcerer",""),IF(IFERROR(MATCH(SUBSTITUTE(A332,".md",""),'Warlock Spells'!A:A,0),0)&gt;0,"#Warlock",""),IF(IFERROR(MATCH(SUBSTITUTE(A332,".md",""),'Wizard Spells'!A:A,0),0)&gt;0,"#Wizard",""))</f>
        <v>#Cleric #Paladin</v>
      </c>
    </row>
    <row r="333" spans="1:7" ht="180" x14ac:dyDescent="0.25">
      <c r="A333" t="s">
        <v>507</v>
      </c>
      <c r="B333" s="1" t="str">
        <f t="shared" si="20"/>
        <v>level 4 - #conjuration Casting Time: Action Range: 90 feet Components: V, S, M (a lockbox worth 400+ GP) Duration: #Concentration, up to 1 hour 
You call forth the spirit of a Construct. It manifests in an unoccupied space that you can see within range and uses the **Construct Spirit** stat block. When you cast the spell, choose a material: Clay, Metal, or Stone. The creature resembles an animate statue (you determine the appearance) made of the chosen material,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#Wizard</v>
      </c>
      <c r="C333" t="str">
        <f t="shared" si="21"/>
        <v>level 4</v>
      </c>
      <c r="D333" s="1" t="s">
        <v>508</v>
      </c>
      <c r="E333" t="str">
        <f t="shared" si="22"/>
        <v>level 4</v>
      </c>
      <c r="F333" t="str">
        <f t="shared" si="23"/>
        <v>NULL</v>
      </c>
      <c r="G333" t="str">
        <f>_xlfn.TEXTJOIN(" ",TRUE,IF(IFERROR(MATCH(SUBSTITUTE(A333,".md",""),'Bard Spells'!A:A,0),0)&gt;0,"#Bard",""),IF(IFERROR(MATCH(SUBSTITUTE(A333,".md",""),'Cleric Spells'!A:A,0),0)&gt;0,"#Cleric",""),IF(IFERROR(MATCH(SUBSTITUTE(A333,".md",""),'Druid Spells'!A:A,0),0)&gt;0,"#Druid",""),IF(IFERROR(MATCH(SUBSTITUTE(A333,".md",""),'Paladin Spells'!A:A,0),0)&gt;0,"#Paladin",""),IF(IFERROR(MATCH(SUBSTITUTE(A333,".md",""),'Ranger Spells'!A:A,0),0)&gt;0,"#Ranger",""),IF(IFERROR(MATCH(SUBSTITUTE(A333,".md",""),'Sorcerer Spells'!A:A,0),0)&gt;0,"#Sorcerer",""),IF(IFERROR(MATCH(SUBSTITUTE(A333,".md",""),'Warlock Spells'!A:A,0),0)&gt;0,"#Warlock",""),IF(IFERROR(MATCH(SUBSTITUTE(A333,".md",""),'Wizard Spells'!A:A,0),0)&gt;0,"#Wizard",""))</f>
        <v>#Wizard</v>
      </c>
    </row>
    <row r="334" spans="1:7" ht="150" x14ac:dyDescent="0.25">
      <c r="A334" t="s">
        <v>509</v>
      </c>
      <c r="B334" s="1" t="str">
        <f t="shared" si="20"/>
        <v>level 5 - #conjuration Casting Time: Action Range: 60 feet Components: V, S, M (an object with the image of a dragon engraved on it worth 500+ GP) Duration: #Concentration, up to 1 hour 
You call forth a Dragon spirit. It manifests in an unoccupied space that you can see within range and uses the Draconic Spirit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#Wizard</v>
      </c>
      <c r="C334" t="str">
        <f t="shared" si="21"/>
        <v>level 5</v>
      </c>
      <c r="D334" s="1" t="s">
        <v>510</v>
      </c>
      <c r="E334" t="str">
        <f t="shared" si="22"/>
        <v>level 5</v>
      </c>
      <c r="F334" t="str">
        <f t="shared" si="23"/>
        <v>NULL</v>
      </c>
      <c r="G334" t="str">
        <f>_xlfn.TEXTJOIN(" ",TRUE,IF(IFERROR(MATCH(SUBSTITUTE(A334,".md",""),'Bard Spells'!A:A,0),0)&gt;0,"#Bard",""),IF(IFERROR(MATCH(SUBSTITUTE(A334,".md",""),'Cleric Spells'!A:A,0),0)&gt;0,"#Cleric",""),IF(IFERROR(MATCH(SUBSTITUTE(A334,".md",""),'Druid Spells'!A:A,0),0)&gt;0,"#Druid",""),IF(IFERROR(MATCH(SUBSTITUTE(A334,".md",""),'Paladin Spells'!A:A,0),0)&gt;0,"#Paladin",""),IF(IFERROR(MATCH(SUBSTITUTE(A334,".md",""),'Ranger Spells'!A:A,0),0)&gt;0,"#Ranger",""),IF(IFERROR(MATCH(SUBSTITUTE(A334,".md",""),'Sorcerer Spells'!A:A,0),0)&gt;0,"#Sorcerer",""),IF(IFERROR(MATCH(SUBSTITUTE(A334,".md",""),'Warlock Spells'!A:A,0),0)&gt;0,"#Warlock",""),IF(IFERROR(MATCH(SUBSTITUTE(A334,".md",""),'Wizard Spells'!A:A,0),0)&gt;0,"#Wizard",""))</f>
        <v>#Wizard</v>
      </c>
    </row>
    <row r="335" spans="1:7" ht="165" x14ac:dyDescent="0.25">
      <c r="A335" t="s">
        <v>511</v>
      </c>
      <c r="B335" s="1" t="str">
        <f t="shared" si="20"/>
        <v>level 4 - #conjuration Casting Time: Action Range: 90 feet Components: V, S, M (air, a pebble, ash, and water inside a gold- inlaid vial worth 400+ GP) Duration: #Concentration, up to 1 hour 
You call forth an Elemental spirit. It manifests in an unoccupied space that you can see within range and uses the **Elemental Spirit** stat block. When you cast the spell, choose an element: Air, Earth, Fire, or Water. The creature resembles a bipedal form wreathed in the chosen element, which determines certain details in its stat block. The creature disappears when it drops to O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 #Ranger #Wizard</v>
      </c>
      <c r="C335" t="str">
        <f t="shared" si="21"/>
        <v>level 4</v>
      </c>
      <c r="D335" s="1" t="s">
        <v>512</v>
      </c>
      <c r="E335" t="str">
        <f t="shared" si="22"/>
        <v>level 4</v>
      </c>
      <c r="F335" t="str">
        <f t="shared" si="23"/>
        <v>NULL</v>
      </c>
      <c r="G335" t="str">
        <f>_xlfn.TEXTJOIN(" ",TRUE,IF(IFERROR(MATCH(SUBSTITUTE(A335,".md",""),'Bard Spells'!A:A,0),0)&gt;0,"#Bard",""),IF(IFERROR(MATCH(SUBSTITUTE(A335,".md",""),'Cleric Spells'!A:A,0),0)&gt;0,"#Cleric",""),IF(IFERROR(MATCH(SUBSTITUTE(A335,".md",""),'Druid Spells'!A:A,0),0)&gt;0,"#Druid",""),IF(IFERROR(MATCH(SUBSTITUTE(A335,".md",""),'Paladin Spells'!A:A,0),0)&gt;0,"#Paladin",""),IF(IFERROR(MATCH(SUBSTITUTE(A335,".md",""),'Ranger Spells'!A:A,0),0)&gt;0,"#Ranger",""),IF(IFERROR(MATCH(SUBSTITUTE(A335,".md",""),'Sorcerer Spells'!A:A,0),0)&gt;0,"#Sorcerer",""),IF(IFERROR(MATCH(SUBSTITUTE(A335,".md",""),'Warlock Spells'!A:A,0),0)&gt;0,"#Warlock",""),IF(IFERROR(MATCH(SUBSTITUTE(A335,".md",""),'Wizard Spells'!A:A,0),0)&gt;0,"#Wizard",""))</f>
        <v>#Druid #Ranger #Wizard</v>
      </c>
    </row>
    <row r="336" spans="1:7" ht="165" x14ac:dyDescent="0.25">
      <c r="A336" t="s">
        <v>513</v>
      </c>
      <c r="B336" s="1" t="str">
        <f t="shared" si="20"/>
        <v>level 3 - #conjuration Casting Time: Action Range: 90 feet Components: V, S, M (a gilded flower worth 300+ GP) Duration: #Concentration, up to 1 hour 
You call forth a Fey spirit. It manifests in an unoccupied space that you can see within range and uses the **Fey Spirit** stat block. When you cast the spell, choose a mood: Fuming, Mirthful, or Tricksy. The creature resembles a Fey creature of your choice marked by the chosen mood,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 #Ranger #Warlock #Wizard</v>
      </c>
      <c r="C336" t="str">
        <f t="shared" si="21"/>
        <v>level 3</v>
      </c>
      <c r="D336" s="1" t="s">
        <v>514</v>
      </c>
      <c r="E336" t="str">
        <f t="shared" si="22"/>
        <v>level 3</v>
      </c>
      <c r="F336" t="str">
        <f t="shared" si="23"/>
        <v>NULL</v>
      </c>
      <c r="G336" t="str">
        <f>_xlfn.TEXTJOIN(" ",TRUE,IF(IFERROR(MATCH(SUBSTITUTE(A336,".md",""),'Bard Spells'!A:A,0),0)&gt;0,"#Bard",""),IF(IFERROR(MATCH(SUBSTITUTE(A336,".md",""),'Cleric Spells'!A:A,0),0)&gt;0,"#Cleric",""),IF(IFERROR(MATCH(SUBSTITUTE(A336,".md",""),'Druid Spells'!A:A,0),0)&gt;0,"#Druid",""),IF(IFERROR(MATCH(SUBSTITUTE(A336,".md",""),'Paladin Spells'!A:A,0),0)&gt;0,"#Paladin",""),IF(IFERROR(MATCH(SUBSTITUTE(A336,".md",""),'Ranger Spells'!A:A,0),0)&gt;0,"#Ranger",""),IF(IFERROR(MATCH(SUBSTITUTE(A336,".md",""),'Sorcerer Spells'!A:A,0),0)&gt;0,"#Sorcerer",""),IF(IFERROR(MATCH(SUBSTITUTE(A336,".md",""),'Warlock Spells'!A:A,0),0)&gt;0,"#Warlock",""),IF(IFERROR(MATCH(SUBSTITUTE(A336,".md",""),'Wizard Spells'!A:A,0),0)&gt;0,"#Wizard",""))</f>
        <v>#Druid #Ranger #Warlock #Wizard</v>
      </c>
    </row>
    <row r="337" spans="1:7" ht="165" x14ac:dyDescent="0.25">
      <c r="A337" t="s">
        <v>515</v>
      </c>
      <c r="B337" s="1" t="str">
        <f t="shared" si="20"/>
        <v>level 6 - #conjuration Casting Time: Action Range: 90 feet Components: V, S, M (a bloody vial worth 600+ GP) Duration: #Concentration, up to 1 hour 
You call forth a fiendish spirit. It manifests in an unoccupied space that you can see within range and uses the **Fiendish Spirit** stat block. When you cast the spell, choose Demon, Devil, or Yugoloth. The creature resembles a Fiend of the chosen type,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Hevel for the spell's level in the stat block_x000D_
#Warlock #Wizard</v>
      </c>
      <c r="C337" t="str">
        <f t="shared" si="21"/>
        <v>level 6</v>
      </c>
      <c r="D337" s="1" t="s">
        <v>516</v>
      </c>
      <c r="E337" t="str">
        <f t="shared" si="22"/>
        <v>level 6</v>
      </c>
      <c r="F337" t="str">
        <f t="shared" si="23"/>
        <v>NULL</v>
      </c>
      <c r="G337" t="str">
        <f>_xlfn.TEXTJOIN(" ",TRUE,IF(IFERROR(MATCH(SUBSTITUTE(A337,".md",""),'Bard Spells'!A:A,0),0)&gt;0,"#Bard",""),IF(IFERROR(MATCH(SUBSTITUTE(A337,".md",""),'Cleric Spells'!A:A,0),0)&gt;0,"#Cleric",""),IF(IFERROR(MATCH(SUBSTITUTE(A337,".md",""),'Druid Spells'!A:A,0),0)&gt;0,"#Druid",""),IF(IFERROR(MATCH(SUBSTITUTE(A337,".md",""),'Paladin Spells'!A:A,0),0)&gt;0,"#Paladin",""),IF(IFERROR(MATCH(SUBSTITUTE(A337,".md",""),'Ranger Spells'!A:A,0),0)&gt;0,"#Ranger",""),IF(IFERROR(MATCH(SUBSTITUTE(A337,".md",""),'Sorcerer Spells'!A:A,0),0)&gt;0,"#Sorcerer",""),IF(IFERROR(MATCH(SUBSTITUTE(A337,".md",""),'Warlock Spells'!A:A,0),0)&gt;0,"#Warlock",""),IF(IFERROR(MATCH(SUBSTITUTE(A337,".md",""),'Wizard Spells'!A:A,0),0)&gt;0,"#Wizard",""))</f>
        <v>#Warlock #Wizard</v>
      </c>
    </row>
    <row r="338" spans="1:7" ht="165" x14ac:dyDescent="0.25">
      <c r="A338" t="s">
        <v>517</v>
      </c>
      <c r="B338" s="1" t="str">
        <f t="shared" si="20"/>
        <v>level 3 - #necromancy Casting Time: Action Range: 90 feet Components: V, S, M (a gilded skull worth 300+ GP) Duration: #Concentration, up to 1 hour 
You call forth an Undead spirit. It manifests in an unoccupied space that you can see within range and uses the Undead Spirit stat block. When you cast the spell, choose the creature's form: Ghostly, Putrid, or Skeletal. The spirit resembles an Undead creature with the chosen form,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#Warlock #Wizard</v>
      </c>
      <c r="C338" t="str">
        <f t="shared" si="21"/>
        <v>level 3</v>
      </c>
      <c r="D338" s="1" t="s">
        <v>518</v>
      </c>
      <c r="E338" t="str">
        <f t="shared" si="22"/>
        <v>level 3</v>
      </c>
      <c r="F338" t="str">
        <f t="shared" si="23"/>
        <v>NULL</v>
      </c>
      <c r="G338" t="str">
        <f>_xlfn.TEXTJOIN(" ",TRUE,IF(IFERROR(MATCH(SUBSTITUTE(A338,".md",""),'Bard Spells'!A:A,0),0)&gt;0,"#Bard",""),IF(IFERROR(MATCH(SUBSTITUTE(A338,".md",""),'Cleric Spells'!A:A,0),0)&gt;0,"#Cleric",""),IF(IFERROR(MATCH(SUBSTITUTE(A338,".md",""),'Druid Spells'!A:A,0),0)&gt;0,"#Druid",""),IF(IFERROR(MATCH(SUBSTITUTE(A338,".md",""),'Paladin Spells'!A:A,0),0)&gt;0,"#Paladin",""),IF(IFERROR(MATCH(SUBSTITUTE(A338,".md",""),'Ranger Spells'!A:A,0),0)&gt;0,"#Ranger",""),IF(IFERROR(MATCH(SUBSTITUTE(A338,".md",""),'Sorcerer Spells'!A:A,0),0)&gt;0,"#Sorcerer",""),IF(IFERROR(MATCH(SUBSTITUTE(A338,".md",""),'Warlock Spells'!A:A,0),0)&gt;0,"#Warlock",""),IF(IFERROR(MATCH(SUBSTITUTE(A338,".md",""),'Wizard Spells'!A:A,0),0)&gt;0,"#Wizard",""))</f>
        <v>#Warlock #Wizard</v>
      </c>
    </row>
    <row r="339" spans="1:7" ht="135" x14ac:dyDescent="0.25">
      <c r="A339" t="s">
        <v>519</v>
      </c>
      <c r="B339" s="1" t="str">
        <f t="shared" si="20"/>
        <v>level 6 - #evocation Casting Time: Action Range: Self Components: V, S, M (a magnifying glass) Duration: #Concentration, up to 1 minute 
You launch a sunbeam in a 5-foot-wide, 60-foot-long Line. Each creature in the Line makes a Constitution saving throw. On a failed save, a creature takes 6d8 Radiant damage and has the Blinded condition until the start of your next turn. On a successful save, it takes half as much damage only. 
Until the spell ends, you can take a Magic action to create a new Line of radiance. 
For the duration, a mote of brilliant radiance shines above you. It sheds Bright Light in a 30-foot radius and Dim Light for an additional 30 feet. This light is sunlight_x000D_
#Cleric #Druid #Sorcerer #Wizard</v>
      </c>
      <c r="C339" t="str">
        <f t="shared" si="21"/>
        <v>level 6</v>
      </c>
      <c r="D339" s="1" t="s">
        <v>520</v>
      </c>
      <c r="E339" t="str">
        <f t="shared" si="22"/>
        <v>level 6</v>
      </c>
      <c r="F339" t="str">
        <f t="shared" si="23"/>
        <v>NULL</v>
      </c>
      <c r="G339" t="str">
        <f>_xlfn.TEXTJOIN(" ",TRUE,IF(IFERROR(MATCH(SUBSTITUTE(A339,".md",""),'Bard Spells'!A:A,0),0)&gt;0,"#Bard",""),IF(IFERROR(MATCH(SUBSTITUTE(A339,".md",""),'Cleric Spells'!A:A,0),0)&gt;0,"#Cleric",""),IF(IFERROR(MATCH(SUBSTITUTE(A339,".md",""),'Druid Spells'!A:A,0),0)&gt;0,"#Druid",""),IF(IFERROR(MATCH(SUBSTITUTE(A339,".md",""),'Paladin Spells'!A:A,0),0)&gt;0,"#Paladin",""),IF(IFERROR(MATCH(SUBSTITUTE(A339,".md",""),'Ranger Spells'!A:A,0),0)&gt;0,"#Ranger",""),IF(IFERROR(MATCH(SUBSTITUTE(A339,".md",""),'Sorcerer Spells'!A:A,0),0)&gt;0,"#Sorcerer",""),IF(IFERROR(MATCH(SUBSTITUTE(A339,".md",""),'Warlock Spells'!A:A,0),0)&gt;0,"#Warlock",""),IF(IFERROR(MATCH(SUBSTITUTE(A339,".md",""),'Wizard Spells'!A:A,0),0)&gt;0,"#Wizard",""))</f>
        <v>#Cleric #Druid #Sorcerer #Wizard</v>
      </c>
    </row>
    <row r="340" spans="1:7" ht="135" x14ac:dyDescent="0.25">
      <c r="A340" t="s">
        <v>521</v>
      </c>
      <c r="B340" s="1" t="str">
        <f t="shared" si="20"/>
        <v>level 8 - #evocation Casting Time: Action Range: 150 feet Components: V, S, M (piece of sunstone) Duration: Instantaneous 
Brilliant sunlight flashes in a 60-foot-radius Sphere centered on a point you choose within range. Each creature in the Sphere makes a Constitution saving throw. On a failed save, a creature takes 12d6 Radiant damage and has the Blinded condition for 1 minute. On a successful save, it takes half as much damage only.
A creature Blinded by this spell makes another Constitution saving throw at the end of each of its turns, ending the effect on itself on a success. 
This spell dispels Darkness in its area that was created by any spell._x000D_
#Cleric #Druid #Sorcerer #Wizard</v>
      </c>
      <c r="C340" t="str">
        <f t="shared" si="21"/>
        <v>level 8</v>
      </c>
      <c r="D340" s="1" t="s">
        <v>522</v>
      </c>
      <c r="E340" t="str">
        <f t="shared" si="22"/>
        <v>level 8</v>
      </c>
      <c r="F340" t="str">
        <f t="shared" si="23"/>
        <v>NULL</v>
      </c>
      <c r="G340" t="str">
        <f>_xlfn.TEXTJOIN(" ",TRUE,IF(IFERROR(MATCH(SUBSTITUTE(A340,".md",""),'Bard Spells'!A:A,0),0)&gt;0,"#Bard",""),IF(IFERROR(MATCH(SUBSTITUTE(A340,".md",""),'Cleric Spells'!A:A,0),0)&gt;0,"#Cleric",""),IF(IFERROR(MATCH(SUBSTITUTE(A340,".md",""),'Druid Spells'!A:A,0),0)&gt;0,"#Druid",""),IF(IFERROR(MATCH(SUBSTITUTE(A340,".md",""),'Paladin Spells'!A:A,0),0)&gt;0,"#Paladin",""),IF(IFERROR(MATCH(SUBSTITUTE(A340,".md",""),'Ranger Spells'!A:A,0),0)&gt;0,"#Ranger",""),IF(IFERROR(MATCH(SUBSTITUTE(A340,".md",""),'Sorcerer Spells'!A:A,0),0)&gt;0,"#Sorcerer",""),IF(IFERROR(MATCH(SUBSTITUTE(A340,".md",""),'Warlock Spells'!A:A,0),0)&gt;0,"#Warlock",""),IF(IFERROR(MATCH(SUBSTITUTE(A340,".md",""),'Wizard Spells'!A:A,0),0)&gt;0,"#Wizard",""))</f>
        <v>#Cleric #Druid #Sorcerer #Wizard</v>
      </c>
    </row>
    <row r="341" spans="1:7" ht="90" x14ac:dyDescent="0.25">
      <c r="A341" t="s">
        <v>523</v>
      </c>
      <c r="B341" s="1" t="str">
        <f t="shared" si="20"/>
        <v>level 5 - #transmutation Casting Time: #BonusAction Range: Self Components: V, S, M (a Quiver worth 1+ GP) Duration: #Concentration, up to 1 minute 
Description not available (not OGL)_x000D_
#Ranger</v>
      </c>
      <c r="C341" t="str">
        <f t="shared" si="21"/>
        <v>level 5</v>
      </c>
      <c r="D341" s="1" t="s">
        <v>1182</v>
      </c>
      <c r="E341" t="str">
        <f t="shared" si="22"/>
        <v>level 5</v>
      </c>
      <c r="F341" t="str">
        <f t="shared" si="23"/>
        <v>NULL</v>
      </c>
      <c r="G341" t="str">
        <f>_xlfn.TEXTJOIN(" ",TRUE,IF(IFERROR(MATCH(SUBSTITUTE(A341,".md",""),'Bard Spells'!A:A,0),0)&gt;0,"#Bard",""),IF(IFERROR(MATCH(SUBSTITUTE(A341,".md",""),'Cleric Spells'!A:A,0),0)&gt;0,"#Cleric",""),IF(IFERROR(MATCH(SUBSTITUTE(A341,".md",""),'Druid Spells'!A:A,0),0)&gt;0,"#Druid",""),IF(IFERROR(MATCH(SUBSTITUTE(A341,".md",""),'Paladin Spells'!A:A,0),0)&gt;0,"#Paladin",""),IF(IFERROR(MATCH(SUBSTITUTE(A341,".md",""),'Ranger Spells'!A:A,0),0)&gt;0,"#Ranger",""),IF(IFERROR(MATCH(SUBSTITUTE(A341,".md",""),'Sorcerer Spells'!A:A,0),0)&gt;0,"#Sorcerer",""),IF(IFERROR(MATCH(SUBSTITUTE(A341,".md",""),'Warlock Spells'!A:A,0),0)&gt;0,"#Warlock",""),IF(IFERROR(MATCH(SUBSTITUTE(A341,".md",""),'Wizard Spells'!A:A,0),0)&gt;0,"#Wizard",""))</f>
        <v>#Ranger</v>
      </c>
    </row>
    <row r="342" spans="1:7" ht="330" x14ac:dyDescent="0.25">
      <c r="A342" t="s">
        <v>524</v>
      </c>
      <c r="B342" s="1" t="str">
        <f t="shared" si="20"/>
        <v>level 7 - #abjuration Casting Time: 1 minute Range: Touch Components: V, S, M (powdered diamond worth 1,000+ GP, which the spell consumes) Duration: Until dispelled or triggered 
You inscribe a harmful glyph either on a surface (such as a section of floor or wall) or within an object that can be closed (such as a book or chest). The glyph can cover an area no larger than 10 feet in diameter. If you choose an object, it must remain in place; if it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which effect the symbol bears: Death, Discord, Fear, Pain, Sleep, or Stunning. Each one is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You can refine the trigger so that only creatures of certain types activate it (for example, the glyph could be set to affect Aberrations). You can also set conditions for creatures that don't trigger the glyph, such as those who say a certain password.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A creature is targeted only once per turn. 
**Death**. Each target makes a Constitution saving throw, taking 10d10 Necrotic damage on a failed save or half as much damage on a successful save. 
**Discord**. Each target makes a Wisdom saving throw. On a failed save, a target argues with other creatures for 1 minute. During this time, it is incapable of meaningful communication and has Disadvantage on attack rolls and ability checks.
**Fear**. Each target must succeed on a Wisdom saving throw or have the Frightened condition for 1 minute. While Frightened, the target must move at least 30 feet away from the glyph on each of its turns, if able. 
**Pain**. Each target must succeed on a Constitution saving throw or have the Incapacitated condition for 1 minute. 
**Sleep**. Each target must succeed on a Wisdom saving throw or have the Unconscious condition for 10 minutes. A creature awakens if it takes damage or if someone takes an action to shake it awake. 
**Stunning**. Each target must succeed on a Wisdom saving throw or have the Stunned condition for 1 minute_x000D_
#Bard #Cleric #Druid #Wizard</v>
      </c>
      <c r="C342" t="str">
        <f t="shared" si="21"/>
        <v>level 7</v>
      </c>
      <c r="D342" s="1" t="s">
        <v>525</v>
      </c>
      <c r="E342" t="str">
        <f t="shared" si="22"/>
        <v>level 7</v>
      </c>
      <c r="F342" t="str">
        <f t="shared" si="23"/>
        <v>NULL</v>
      </c>
      <c r="G342" t="str">
        <f>_xlfn.TEXTJOIN(" ",TRUE,IF(IFERROR(MATCH(SUBSTITUTE(A342,".md",""),'Bard Spells'!A:A,0),0)&gt;0,"#Bard",""),IF(IFERROR(MATCH(SUBSTITUTE(A342,".md",""),'Cleric Spells'!A:A,0),0)&gt;0,"#Cleric",""),IF(IFERROR(MATCH(SUBSTITUTE(A342,".md",""),'Druid Spells'!A:A,0),0)&gt;0,"#Druid",""),IF(IFERROR(MATCH(SUBSTITUTE(A342,".md",""),'Paladin Spells'!A:A,0),0)&gt;0,"#Paladin",""),IF(IFERROR(MATCH(SUBSTITUTE(A342,".md",""),'Ranger Spells'!A:A,0),0)&gt;0,"#Ranger",""),IF(IFERROR(MATCH(SUBSTITUTE(A342,".md",""),'Sorcerer Spells'!A:A,0),0)&gt;0,"#Sorcerer",""),IF(IFERROR(MATCH(SUBSTITUTE(A342,".md",""),'Warlock Spells'!A:A,0),0)&gt;0,"#Warlock",""),IF(IFERROR(MATCH(SUBSTITUTE(A342,".md",""),'Wizard Spells'!A:A,0),0)&gt;0,"#Wizard",""))</f>
        <v>#Bard #Cleric #Druid #Wizard</v>
      </c>
    </row>
    <row r="343" spans="1:7" ht="90" x14ac:dyDescent="0.25">
      <c r="A343" t="s">
        <v>526</v>
      </c>
      <c r="B343" s="1" t="str">
        <f t="shared" si="20"/>
        <v>level 5 - #enchantment Casting Time: Action Range: 120 feet Components: V, S Duration: Instantaneous 
Description not available (not OGL)._x000D_
#Bard #Sorcerer #Warlock #Wizard</v>
      </c>
      <c r="C343" t="str">
        <f t="shared" si="21"/>
        <v>level 5</v>
      </c>
      <c r="D343" s="1" t="s">
        <v>527</v>
      </c>
      <c r="E343" t="str">
        <f t="shared" si="22"/>
        <v>level 5</v>
      </c>
      <c r="F343" t="str">
        <f t="shared" si="23"/>
        <v>NULL</v>
      </c>
      <c r="G343" t="str">
        <f>_xlfn.TEXTJOIN(" ",TRUE,IF(IFERROR(MATCH(SUBSTITUTE(A343,".md",""),'Bard Spells'!A:A,0),0)&gt;0,"#Bard",""),IF(IFERROR(MATCH(SUBSTITUTE(A343,".md",""),'Cleric Spells'!A:A,0),0)&gt;0,"#Cleric",""),IF(IFERROR(MATCH(SUBSTITUTE(A343,".md",""),'Druid Spells'!A:A,0),0)&gt;0,"#Druid",""),IF(IFERROR(MATCH(SUBSTITUTE(A343,".md",""),'Paladin Spells'!A:A,0),0)&gt;0,"#Paladin",""),IF(IFERROR(MATCH(SUBSTITUTE(A343,".md",""),'Ranger Spells'!A:A,0),0)&gt;0,"#Ranger",""),IF(IFERROR(MATCH(SUBSTITUTE(A343,".md",""),'Sorcerer Spells'!A:A,0),0)&gt;0,"#Sorcerer",""),IF(IFERROR(MATCH(SUBSTITUTE(A343,".md",""),'Warlock Spells'!A:A,0),0)&gt;0,"#Warlock",""),IF(IFERROR(MATCH(SUBSTITUTE(A343,".md",""),'Wizard Spells'!A:A,0),0)&gt;0,"#Wizard",""))</f>
        <v>#Bard #Sorcerer #Warlock #Wizard</v>
      </c>
    </row>
    <row r="344" spans="1:7" ht="165" x14ac:dyDescent="0.25">
      <c r="A344" t="s">
        <v>528</v>
      </c>
      <c r="B344" s="1" t="str">
        <f t="shared" si="20"/>
        <v>level 6 - #conjuration Casting Time: Action Range: 5 feet Components: V, S, M (a gilded ladle worth 500+ GP) Duration: 10 minutes 
You conjure a claw-footed cauldron filled with bubbling liquid. The cauldron appears in an unoccupied space on the ground within 5 feet of you and lasts for the duration. The cauldron can't be moved, and disappears when the spell ends, along with the bubbling liquid inside of it. 
The liquid in the cauldron duplicates the properties of a Common or an Uncommon potion of your choice (such as potion of healing). As a Bonus Action, you or an ally can reach into the cauldron and withdraw one potion of that kind. The potion is contained in a vial that disappears when the potion is consumed. The cauldron can produce a number of these potions equal to your spellcasting ability modifier (minimum 1). When the last of these potions is withdrawn from the cauldron, the cauldron disappears, and the spell ends. 
Potions obtained from the cauldron that aren't consumed disappear when you cast the spell again_x000D_
#Warlock #Wizard</v>
      </c>
      <c r="C344" t="str">
        <f t="shared" si="21"/>
        <v>level 6</v>
      </c>
      <c r="D344" s="1" t="s">
        <v>529</v>
      </c>
      <c r="E344" t="str">
        <f t="shared" si="22"/>
        <v>level 6</v>
      </c>
      <c r="F344" t="str">
        <f t="shared" si="23"/>
        <v>NULL</v>
      </c>
      <c r="G344" t="str">
        <f>_xlfn.TEXTJOIN(" ",TRUE,IF(IFERROR(MATCH(SUBSTITUTE(A344,".md",""),'Bard Spells'!A:A,0),0)&gt;0,"#Bard",""),IF(IFERROR(MATCH(SUBSTITUTE(A344,".md",""),'Cleric Spells'!A:A,0),0)&gt;0,"#Cleric",""),IF(IFERROR(MATCH(SUBSTITUTE(A344,".md",""),'Druid Spells'!A:A,0),0)&gt;0,"#Druid",""),IF(IFERROR(MATCH(SUBSTITUTE(A344,".md",""),'Paladin Spells'!A:A,0),0)&gt;0,"#Paladin",""),IF(IFERROR(MATCH(SUBSTITUTE(A344,".md",""),'Ranger Spells'!A:A,0),0)&gt;0,"#Ranger",""),IF(IFERROR(MATCH(SUBSTITUTE(A344,".md",""),'Sorcerer Spells'!A:A,0),0)&gt;0,"#Sorcerer",""),IF(IFERROR(MATCH(SUBSTITUTE(A344,".md",""),'Warlock Spells'!A:A,0),0)&gt;0,"#Warlock",""),IF(IFERROR(MATCH(SUBSTITUTE(A344,".md",""),'Wizard Spells'!A:A,0),0)&gt;0,"#Wizard",""))</f>
        <v>#Warlock #Wizard</v>
      </c>
    </row>
    <row r="345" spans="1:7" ht="150" x14ac:dyDescent="0.25">
      <c r="A345" t="s">
        <v>530</v>
      </c>
      <c r="B345" s="1" t="str">
        <f t="shared" si="20"/>
        <v>level 1 - #enchantment Casting Time: Action Range: 30 feet Components: V, S, M (a tart and a feather) Duration: #Concentration, up to 1 minute 
One creature of your choice that you can see within range makes a Wisdom saving throw. On a failed save, it has the Prone and Incapacitated conditions for the duration. During that time, it laughs uncontrollably if it's capable of laughter, and it can't end the Prone condition on it self. 
At the end of each of its turns and each time it takes damage, it makes another Wisdom saving throw. The target has Advantage on the save if the save is triggered by damage. On a successful save, the spell ends. 
Using a Higher-Level Spell Slot. You can target one additional creature for each spell slot level about 1_x000D_
#Bard #Warlock #Wizard</v>
      </c>
      <c r="C345" t="str">
        <f t="shared" si="21"/>
        <v>level 1</v>
      </c>
      <c r="D345" s="1" t="s">
        <v>531</v>
      </c>
      <c r="E345" t="str">
        <f t="shared" si="22"/>
        <v>level 1</v>
      </c>
      <c r="F345" t="str">
        <f t="shared" si="23"/>
        <v>NULL</v>
      </c>
      <c r="G345" t="str">
        <f>_xlfn.TEXTJOIN(" ",TRUE,IF(IFERROR(MATCH(SUBSTITUTE(A345,".md",""),'Bard Spells'!A:A,0),0)&gt;0,"#Bard",""),IF(IFERROR(MATCH(SUBSTITUTE(A345,".md",""),'Cleric Spells'!A:A,0),0)&gt;0,"#Cleric",""),IF(IFERROR(MATCH(SUBSTITUTE(A345,".md",""),'Druid Spells'!A:A,0),0)&gt;0,"#Druid",""),IF(IFERROR(MATCH(SUBSTITUTE(A345,".md",""),'Paladin Spells'!A:A,0),0)&gt;0,"#Paladin",""),IF(IFERROR(MATCH(SUBSTITUTE(A345,".md",""),'Ranger Spells'!A:A,0),0)&gt;0,"#Ranger",""),IF(IFERROR(MATCH(SUBSTITUTE(A345,".md",""),'Sorcerer Spells'!A:A,0),0)&gt;0,"#Sorcerer",""),IF(IFERROR(MATCH(SUBSTITUTE(A345,".md",""),'Warlock Spells'!A:A,0),0)&gt;0,"#Warlock",""),IF(IFERROR(MATCH(SUBSTITUTE(A345,".md",""),'Wizard Spells'!A:A,0),0)&gt;0,"#Wizard",""))</f>
        <v>#Bard #Warlock #Wizard</v>
      </c>
    </row>
    <row r="346" spans="1:7" ht="195" x14ac:dyDescent="0.25">
      <c r="A346" t="s">
        <v>532</v>
      </c>
      <c r="B346" s="1" t="str">
        <f t="shared" si="20"/>
        <v>level 5 - #transmutation Casting Time: Action Range: 60 feet Components: V, S Duration: #Concentration, up to 10 minutes 
You gain the ability to move or manipulate creatures or objects by thought. When you cast the spell and as a Magic action on your later turns before the spell ends,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The target must succeed on a Strength saving throw, or you move it up to 30 feet in any direction within the spell's range. Until the end of your next turn, the creature has the Restrained condition, and if you lift it into the air, it is suspended there. It falls at the end of your next turn unless you use this option on it again and it fails the save. 
**Object**. You can try to move a Huge or smaller object. If the object isn't being worn or carried, you automatically move it up to 30 feet in any direction within the spell's range. 
If the object is worn or carried by a creature, that creature must succeed on a Strength saving throw, or you pull the object away and move it up to 30 feet in any direction within the spell's range. You can exert fine control on objects with your telekinetic grip, such as manipulating a simple tool, opening a door or a container, stowing or retrieving an item from an open container, or pouring the contents from a vial_x000D_
#Sorcerer #Wizard</v>
      </c>
      <c r="C346" t="str">
        <f t="shared" si="21"/>
        <v>level 5</v>
      </c>
      <c r="D346" s="1" t="s">
        <v>533</v>
      </c>
      <c r="E346" t="str">
        <f t="shared" si="22"/>
        <v>level 5</v>
      </c>
      <c r="F346" t="str">
        <f t="shared" si="23"/>
        <v>NULL</v>
      </c>
      <c r="G346" t="str">
        <f>_xlfn.TEXTJOIN(" ",TRUE,IF(IFERROR(MATCH(SUBSTITUTE(A346,".md",""),'Bard Spells'!A:A,0),0)&gt;0,"#Bard",""),IF(IFERROR(MATCH(SUBSTITUTE(A346,".md",""),'Cleric Spells'!A:A,0),0)&gt;0,"#Cleric",""),IF(IFERROR(MATCH(SUBSTITUTE(A346,".md",""),'Druid Spells'!A:A,0),0)&gt;0,"#Druid",""),IF(IFERROR(MATCH(SUBSTITUTE(A346,".md",""),'Paladin Spells'!A:A,0),0)&gt;0,"#Paladin",""),IF(IFERROR(MATCH(SUBSTITUTE(A346,".md",""),'Ranger Spells'!A:A,0),0)&gt;0,"#Ranger",""),IF(IFERROR(MATCH(SUBSTITUTE(A346,".md",""),'Sorcerer Spells'!A:A,0),0)&gt;0,"#Sorcerer",""),IF(IFERROR(MATCH(SUBSTITUTE(A346,".md",""),'Warlock Spells'!A:A,0),0)&gt;0,"#Warlock",""),IF(IFERROR(MATCH(SUBSTITUTE(A346,".md",""),'Wizard Spells'!A:A,0),0)&gt;0,"#Wizard",""))</f>
        <v>#Sorcerer #Wizard</v>
      </c>
    </row>
    <row r="347" spans="1:7" ht="90" x14ac:dyDescent="0.25">
      <c r="A347" t="s">
        <v>534</v>
      </c>
      <c r="B347" s="1" t="str">
        <f t="shared" si="20"/>
        <v>level 8 - #divination Casting Time: Action Range: Unlimited Components: V, S, M (a pair of linked silver rings) Duration: 24 hours 
Description not available (not OGL)_x000D_
#Wizard</v>
      </c>
      <c r="C347" t="str">
        <f t="shared" si="21"/>
        <v>level 8</v>
      </c>
      <c r="D347" s="1" t="s">
        <v>535</v>
      </c>
      <c r="E347" t="str">
        <f t="shared" si="22"/>
        <v>level 8</v>
      </c>
      <c r="F347" t="str">
        <f t="shared" si="23"/>
        <v>NULL</v>
      </c>
      <c r="G347" t="str">
        <f>_xlfn.TEXTJOIN(" ",TRUE,IF(IFERROR(MATCH(SUBSTITUTE(A347,".md",""),'Bard Spells'!A:A,0),0)&gt;0,"#Bard",""),IF(IFERROR(MATCH(SUBSTITUTE(A347,".md",""),'Cleric Spells'!A:A,0),0)&gt;0,"#Cleric",""),IF(IFERROR(MATCH(SUBSTITUTE(A347,".md",""),'Druid Spells'!A:A,0),0)&gt;0,"#Druid",""),IF(IFERROR(MATCH(SUBSTITUTE(A347,".md",""),'Paladin Spells'!A:A,0),0)&gt;0,"#Paladin",""),IF(IFERROR(MATCH(SUBSTITUTE(A347,".md",""),'Ranger Spells'!A:A,0),0)&gt;0,"#Ranger",""),IF(IFERROR(MATCH(SUBSTITUTE(A347,".md",""),'Sorcerer Spells'!A:A,0),0)&gt;0,"#Sorcerer",""),IF(IFERROR(MATCH(SUBSTITUTE(A347,".md",""),'Warlock Spells'!A:A,0),0)&gt;0,"#Warlock",""),IF(IFERROR(MATCH(SUBSTITUTE(A347,".md",""),'Wizard Spells'!A:A,0),0)&gt;0,"#Wizard",""))</f>
        <v>#Wizard</v>
      </c>
    </row>
    <row r="348" spans="1:7" ht="409.5" x14ac:dyDescent="0.25">
      <c r="A348" t="s">
        <v>536</v>
      </c>
      <c r="B348" s="1" t="str">
        <f t="shared" si="20"/>
        <v>level 7 - #conjuration Casting Time: Action Range: 10 feet Components: V Duration: Instantaneous 
This spell instantly transports you and up to eight willing creatures that you can see within range, or a single object that you can see within range, to a destination you select. If you target an object, it must be Large or smaller, and it canâ€™t be held or carried by an unwilling creature. The destination you choose must be known to you, and it must be on the same plane of existence as you. Your familiarity with the destination determines whether you arrive there successfully. The DM rolls 1d100 and consults the Teleportation Outcome table and the explanations after it. 
| Familiarity              | Mishap | Similar Area | Off Target | On Target |
| ------------------------ | ------ | ------------ | ---------- | --------- |
| Permanent circle         | -      | -            | -          | 01-00     |
| Linked object            | -      | -            | -          | 01â€“00     |
| Very familiar            | 01-05  | 06-13        | 14-24      | 25-00     |
| Seen casually            | 01-33  | 34-43        | 44-53      | 54-00     |
| Viewed once or described | 01-43  | 44-53        | 54-73      | 74-00     |
| False destination        | 01-50  | 51-00        | -          | -         |
  **Familiarity**. Here are the meanings of the terms in the tableâ€™s Familiarity column: 
  â€¢ â€œPermanent circleâ€ means a permanent teleportation circle whose sigil sequence you know. 
  â€¢ â€œLinked objectâ€ means you possess an object taken from the desired destination within the last six months, such as a book from a wizardâ€™s library. 
  â€¢ â€œVery familiarâ€ is a place you have visited often, a place you have carefully studied, or a place you can see when you cast the spell. 
  â€¢ â€œSeen casuallyâ€ is a place you have seen more than once but with which you arenâ€™t very familiar. 
  â€¢ â€œViewed once or describedâ€ is a place you have seen once, possibly using magic, or a place you know through someone elseâ€™s description, perhaps from a map. 
  â€¢ â€œFalse destinationâ€ is a place that doesnâ€™t exist. Perhaps you tried to scry an enemyâ€™s sanctum but instead viewed an illusion, or you are attempting to teleport to a location that no longer exists.
  **Mishap**. The spellâ€™s unpredictable magic results in a difficult journey. Each teleporting creature (or the target object) takes 3d10 Force damage, and the DM rerolls on the table to see where you wind up (multiple mishaps can occur, dealing damage each time). 
  **Similar Area**. You and your group (or the target object) appear in a different area thatâ€™s visually or thematically similar to the target area. You appear in the closest similar place. If you are heading for your home laboratory, for example, you might appear in another personâ€™s laboratory in the same city. 
  **Off Target**. You and your group (or the target object) appear 2d12 miles away from the destination in a random direction. Roll 1d8 for the direction: 1, east; 2, southeast; 3, south; 4, southwest; 5, west; 6, northwest; 7, north; or 8, northeast. 
  **On Target**. You and your group (or the target object) appear where you intended._x000D_
#Bard #Sorcerer #Wizard</v>
      </c>
      <c r="C348" t="str">
        <f t="shared" si="21"/>
        <v>level 7</v>
      </c>
      <c r="D348" s="1" t="s">
        <v>537</v>
      </c>
      <c r="E348" t="str">
        <f t="shared" si="22"/>
        <v>level 7</v>
      </c>
      <c r="F348" t="str">
        <f t="shared" si="23"/>
        <v>NULL</v>
      </c>
      <c r="G348" t="str">
        <f>_xlfn.TEXTJOIN(" ",TRUE,IF(IFERROR(MATCH(SUBSTITUTE(A348,".md",""),'Bard Spells'!A:A,0),0)&gt;0,"#Bard",""),IF(IFERROR(MATCH(SUBSTITUTE(A348,".md",""),'Cleric Spells'!A:A,0),0)&gt;0,"#Cleric",""),IF(IFERROR(MATCH(SUBSTITUTE(A348,".md",""),'Druid Spells'!A:A,0),0)&gt;0,"#Druid",""),IF(IFERROR(MATCH(SUBSTITUTE(A348,".md",""),'Paladin Spells'!A:A,0),0)&gt;0,"#Paladin",""),IF(IFERROR(MATCH(SUBSTITUTE(A348,".md",""),'Ranger Spells'!A:A,0),0)&gt;0,"#Ranger",""),IF(IFERROR(MATCH(SUBSTITUTE(A348,".md",""),'Sorcerer Spells'!A:A,0),0)&gt;0,"#Sorcerer",""),IF(IFERROR(MATCH(SUBSTITUTE(A348,".md",""),'Warlock Spells'!A:A,0),0)&gt;0,"#Warlock",""),IF(IFERROR(MATCH(SUBSTITUTE(A348,".md",""),'Wizard Spells'!A:A,0),0)&gt;0,"#Wizard",""))</f>
        <v>#Bard #Sorcerer #Wizard</v>
      </c>
    </row>
    <row r="349" spans="1:7" ht="180" x14ac:dyDescent="0.25">
      <c r="A349" t="s">
        <v>538</v>
      </c>
      <c r="B349" s="1" t="str">
        <f t="shared" si="20"/>
        <v>level 5 - #conjuration Casting Time: 1 minute Range: 10 feet Components: V, M (rare inks worth 50+ GP, which the spell consumes) Duration: 1 round 
As you cast the spell, you draw a 5-foot-radius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guildhalls, and other important places have permanent teleportation circles. Each circle includes a unique sigil sequenceâ€”a string of runes arranged in a particular pattern. When you first gain the ability to cast this spell, you learn the sigil sequences for two destinations on the Material Plane, determined by the DM. You might learn additional sigil sequences during your adventures. You can commit a new sigil sequence to memory after studying it for 1 minute. 
You can create a permanent teleportation circle by casting this spell in the same location every day for 365 days_x000D_
#Bard #Sorcerer #Warlock #Wizard</v>
      </c>
      <c r="C349" t="str">
        <f t="shared" si="21"/>
        <v>level 5</v>
      </c>
      <c r="D349" s="1" t="s">
        <v>539</v>
      </c>
      <c r="E349" t="str">
        <f t="shared" si="22"/>
        <v>level 5</v>
      </c>
      <c r="F349" t="str">
        <f t="shared" si="23"/>
        <v>NULL</v>
      </c>
      <c r="G349" t="str">
        <f>_xlfn.TEXTJOIN(" ",TRUE,IF(IFERROR(MATCH(SUBSTITUTE(A349,".md",""),'Bard Spells'!A:A,0),0)&gt;0,"#Bard",""),IF(IFERROR(MATCH(SUBSTITUTE(A349,".md",""),'Cleric Spells'!A:A,0),0)&gt;0,"#Cleric",""),IF(IFERROR(MATCH(SUBSTITUTE(A349,".md",""),'Druid Spells'!A:A,0),0)&gt;0,"#Druid",""),IF(IFERROR(MATCH(SUBSTITUTE(A349,".md",""),'Paladin Spells'!A:A,0),0)&gt;0,"#Paladin",""),IF(IFERROR(MATCH(SUBSTITUTE(A349,".md",""),'Ranger Spells'!A:A,0),0)&gt;0,"#Ranger",""),IF(IFERROR(MATCH(SUBSTITUTE(A349,".md",""),'Sorcerer Spells'!A:A,0),0)&gt;0,"#Sorcerer",""),IF(IFERROR(MATCH(SUBSTITUTE(A349,".md",""),'Warlock Spells'!A:A,0),0)&gt;0,"#Warlock",""),IF(IFERROR(MATCH(SUBSTITUTE(A349,".md",""),'Wizard Spells'!A:A,0),0)&gt;0,"#Wizard",""))</f>
        <v>#Bard #Sorcerer #Warlock #Wizard</v>
      </c>
    </row>
    <row r="350" spans="1:7" ht="150" x14ac:dyDescent="0.25">
      <c r="A350" t="s">
        <v>540</v>
      </c>
      <c r="B350" s="1" t="str">
        <f t="shared" si="20"/>
        <v>level 1 - #conjuration ( #ritual ) Casting Time: Action or Ritual Range: 30 feet Components: V, S, M (a drop of mercury) Duration: 1 hour 
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move across uneven terrain, up or down stairs, slopes and the like, but it can't cross an elevation change of 10 feet or more. For example, the disk can't move across a 1O-foot-deep pit, nor could it leave such a pit if it was created at the bottom. 
If you move more than 100 feet from the disk (typically because it can't move around an obstacle to follow you), the spell ends_x000D_
#Wizard</v>
      </c>
      <c r="C350" t="str">
        <f t="shared" si="21"/>
        <v>level 1</v>
      </c>
      <c r="D350" s="1" t="s">
        <v>541</v>
      </c>
      <c r="E350" t="str">
        <f t="shared" si="22"/>
        <v>level 1</v>
      </c>
      <c r="F350" t="str">
        <f t="shared" si="23"/>
        <v>NULL</v>
      </c>
      <c r="G350" t="str">
        <f>_xlfn.TEXTJOIN(" ",TRUE,IF(IFERROR(MATCH(SUBSTITUTE(A350,".md",""),'Bard Spells'!A:A,0),0)&gt;0,"#Bard",""),IF(IFERROR(MATCH(SUBSTITUTE(A350,".md",""),'Cleric Spells'!A:A,0),0)&gt;0,"#Cleric",""),IF(IFERROR(MATCH(SUBSTITUTE(A350,".md",""),'Druid Spells'!A:A,0),0)&gt;0,"#Druid",""),IF(IFERROR(MATCH(SUBSTITUTE(A350,".md",""),'Paladin Spells'!A:A,0),0)&gt;0,"#Paladin",""),IF(IFERROR(MATCH(SUBSTITUTE(A350,".md",""),'Ranger Spells'!A:A,0),0)&gt;0,"#Ranger",""),IF(IFERROR(MATCH(SUBSTITUTE(A350,".md",""),'Sorcerer Spells'!A:A,0),0)&gt;0,"#Sorcerer",""),IF(IFERROR(MATCH(SUBSTITUTE(A350,".md",""),'Warlock Spells'!A:A,0),0)&gt;0,"#Warlock",""),IF(IFERROR(MATCH(SUBSTITUTE(A350,".md",""),'Wizard Spells'!A:A,0),0)&gt;0,"#Wizard",""))</f>
        <v>#Wizard</v>
      </c>
    </row>
    <row r="351" spans="1:7" ht="180" x14ac:dyDescent="0.25">
      <c r="A351" t="s">
        <v>542</v>
      </c>
      <c r="B351" s="1" t="str">
        <f t="shared" si="20"/>
        <v>level 0 - #transmutation Casting Time: Action Range: 30 feet Components: V Duration: Up to 1 minute 
You manifest a minor wonder within range. You create one of the effects below within range. If you cast this spell multiple times, you can have up to three of its 1-minute effects active at a time. 
**Altered Eyes**. You alter the appearance of your eyes for 1 minute. 
**Booming Voice**. Your voice booms up to three times as loud as normal for 1 minute. For the duration, you have Advantage on Charisma (Intimidation) checks. 
**Fire Play**. You cause flames to flicker, brighten, dim, or change color for 1 minute. 
**Invisible Hand**. You instantaneously cause an unlocked door or window to fly open or slam shut. 
**Phantom Sound**. You create an instantaneous sound that originates from a point of your choice within range, such as a rumble of thunder, the cry of a raven, or ominous whispers. 
**Tremors**. You cause harmless tremors in the ground for 1 minute_x000D_
#Cleric</v>
      </c>
      <c r="C351" t="str">
        <f t="shared" si="21"/>
        <v>level 0</v>
      </c>
      <c r="D351" s="1" t="s">
        <v>543</v>
      </c>
      <c r="E351" t="str">
        <f t="shared" si="22"/>
        <v>level 0</v>
      </c>
      <c r="F351" t="str">
        <f t="shared" si="23"/>
        <v>NULL</v>
      </c>
      <c r="G351" t="str">
        <f>_xlfn.TEXTJOIN(" ",TRUE,IF(IFERROR(MATCH(SUBSTITUTE(A351,".md",""),'Bard Spells'!A:A,0),0)&gt;0,"#Bard",""),IF(IFERROR(MATCH(SUBSTITUTE(A351,".md",""),'Cleric Spells'!A:A,0),0)&gt;0,"#Cleric",""),IF(IFERROR(MATCH(SUBSTITUTE(A351,".md",""),'Druid Spells'!A:A,0),0)&gt;0,"#Druid",""),IF(IFERROR(MATCH(SUBSTITUTE(A351,".md",""),'Paladin Spells'!A:A,0),0)&gt;0,"#Paladin",""),IF(IFERROR(MATCH(SUBSTITUTE(A351,".md",""),'Ranger Spells'!A:A,0),0)&gt;0,"#Ranger",""),IF(IFERROR(MATCH(SUBSTITUTE(A351,".md",""),'Sorcerer Spells'!A:A,0),0)&gt;0,"#Sorcerer",""),IF(IFERROR(MATCH(SUBSTITUTE(A351,".md",""),'Warlock Spells'!A:A,0),0)&gt;0,"#Warlock",""),IF(IFERROR(MATCH(SUBSTITUTE(A351,".md",""),'Wizard Spells'!A:A,0),0)&gt;0,"#Wizard",""))</f>
        <v>#Cleric</v>
      </c>
    </row>
    <row r="352" spans="1:7" ht="135" x14ac:dyDescent="0.25">
      <c r="A352" t="s">
        <v>544</v>
      </c>
      <c r="B352" s="1" t="str">
        <f t="shared" si="20"/>
        <v>level 0 - #transmutation Casting Time: Action Range: 30 feet Components: V, S, M (the stem of a thorny plant) Duration: Instantaneous 
You create a vine-like whip covered in thorns that lashes out at your command toward a creature in range. Make a melee spell attack against the target. On a hit, the target takes 1d6 Piercing damage, and if it is Large or smaller, you can pull it up to 10 feet closer to you. 
Cantrip Upgrade. The damage increases by 1d6 when you reach levels 5 (2d6), 11 (3d6), and 17 (4d6)_x000D_
#Druid</v>
      </c>
      <c r="C352" t="str">
        <f t="shared" si="21"/>
        <v>level 0</v>
      </c>
      <c r="D352" s="1" t="s">
        <v>545</v>
      </c>
      <c r="E352" t="str">
        <f t="shared" si="22"/>
        <v>level 0</v>
      </c>
      <c r="F352" t="str">
        <f t="shared" si="23"/>
        <v>NULL</v>
      </c>
      <c r="G352" t="str">
        <f>_xlfn.TEXTJOIN(" ",TRUE,IF(IFERROR(MATCH(SUBSTITUTE(A352,".md",""),'Bard Spells'!A:A,0),0)&gt;0,"#Bard",""),IF(IFERROR(MATCH(SUBSTITUTE(A352,".md",""),'Cleric Spells'!A:A,0),0)&gt;0,"#Cleric",""),IF(IFERROR(MATCH(SUBSTITUTE(A352,".md",""),'Druid Spells'!A:A,0),0)&gt;0,"#Druid",""),IF(IFERROR(MATCH(SUBSTITUTE(A352,".md",""),'Paladin Spells'!A:A,0),0)&gt;0,"#Paladin",""),IF(IFERROR(MATCH(SUBSTITUTE(A352,".md",""),'Ranger Spells'!A:A,0),0)&gt;0,"#Ranger",""),IF(IFERROR(MATCH(SUBSTITUTE(A352,".md",""),'Sorcerer Spells'!A:A,0),0)&gt;0,"#Sorcerer",""),IF(IFERROR(MATCH(SUBSTITUTE(A352,".md",""),'Warlock Spells'!A:A,0),0)&gt;0,"#Warlock",""),IF(IFERROR(MATCH(SUBSTITUTE(A352,".md",""),'Wizard Spells'!A:A,0),0)&gt;0,"#Wizard",""))</f>
        <v>#Druid</v>
      </c>
    </row>
    <row r="353" spans="1:7" ht="120" x14ac:dyDescent="0.25">
      <c r="A353" t="s">
        <v>546</v>
      </c>
      <c r="B353" s="1" t="str">
        <f t="shared" si="20"/>
        <v>level 0 - #evocation Casting Time: Action Range: Self Components: S Duration: Instantaneous 
Each creature in a 5-foot Emanation originating from you must succeed on a Constitution saving throw or take 1d6 Thunder damage. The spell's thunderous sound can be heard up to 100 feet away. 
Cantrip Upgrade. The damage increases by 1d6 when you reach levels 5 (2d6), 11 (3d6), and 17 (4d6)_x000D_
#Bard #Druid #Sorcerer #Warlock #Wizard</v>
      </c>
      <c r="C353" t="str">
        <f t="shared" si="21"/>
        <v>level 0</v>
      </c>
      <c r="D353" s="1" t="s">
        <v>547</v>
      </c>
      <c r="E353" t="str">
        <f t="shared" si="22"/>
        <v>level 0</v>
      </c>
      <c r="F353" t="str">
        <f t="shared" si="23"/>
        <v>NULL</v>
      </c>
      <c r="G353" t="str">
        <f>_xlfn.TEXTJOIN(" ",TRUE,IF(IFERROR(MATCH(SUBSTITUTE(A353,".md",""),'Bard Spells'!A:A,0),0)&gt;0,"#Bard",""),IF(IFERROR(MATCH(SUBSTITUTE(A353,".md",""),'Cleric Spells'!A:A,0),0)&gt;0,"#Cleric",""),IF(IFERROR(MATCH(SUBSTITUTE(A353,".md",""),'Druid Spells'!A:A,0),0)&gt;0,"#Druid",""),IF(IFERROR(MATCH(SUBSTITUTE(A353,".md",""),'Paladin Spells'!A:A,0),0)&gt;0,"#Paladin",""),IF(IFERROR(MATCH(SUBSTITUTE(A353,".md",""),'Ranger Spells'!A:A,0),0)&gt;0,"#Ranger",""),IF(IFERROR(MATCH(SUBSTITUTE(A353,".md",""),'Sorcerer Spells'!A:A,0),0)&gt;0,"#Sorcerer",""),IF(IFERROR(MATCH(SUBSTITUTE(A353,".md",""),'Warlock Spells'!A:A,0),0)&gt;0,"#Warlock",""),IF(IFERROR(MATCH(SUBSTITUTE(A353,".md",""),'Wizard Spells'!A:A,0),0)&gt;0,"#Wizard",""))</f>
        <v>#Bard #Druid #Sorcerer #Warlock #Wizard</v>
      </c>
    </row>
    <row r="354" spans="1:7" ht="135" x14ac:dyDescent="0.25">
      <c r="A354" t="s">
        <v>548</v>
      </c>
      <c r="B354" s="1" t="str">
        <f t="shared" si="20"/>
        <v>level 1 - #evocation Casting Time: #BonusAction, which you take immediately after hitting a target with a Melee weapon or an Unarmed Strike Range: Self Components: V Duration: Instantaneous 
Your strike rings with thunder that is audible within 300 feet of you, and the target takes an extra 2d6 Thunder damage from the attack. Additionally, if the target is a creature, it must succeed on a Strength saving throw or be pushed 10 feet away from you and have the Prone condition. 
Using a Higher-Level Spell Slot. The damage increases by 1d6 for each spell slot level above 1_x000D_
#Paladin</v>
      </c>
      <c r="C354" t="str">
        <f t="shared" si="21"/>
        <v>level 1</v>
      </c>
      <c r="D354" s="1" t="s">
        <v>549</v>
      </c>
      <c r="E354" t="str">
        <f t="shared" si="22"/>
        <v>level 1</v>
      </c>
      <c r="F354" t="str">
        <f t="shared" si="23"/>
        <v>NULL</v>
      </c>
      <c r="G354" t="str">
        <f>_xlfn.TEXTJOIN(" ",TRUE,IF(IFERROR(MATCH(SUBSTITUTE(A354,".md",""),'Bard Spells'!A:A,0),0)&gt;0,"#Bard",""),IF(IFERROR(MATCH(SUBSTITUTE(A354,".md",""),'Cleric Spells'!A:A,0),0)&gt;0,"#Cleric",""),IF(IFERROR(MATCH(SUBSTITUTE(A354,".md",""),'Druid Spells'!A:A,0),0)&gt;0,"#Druid",""),IF(IFERROR(MATCH(SUBSTITUTE(A354,".md",""),'Paladin Spells'!A:A,0),0)&gt;0,"#Paladin",""),IF(IFERROR(MATCH(SUBSTITUTE(A354,".md",""),'Ranger Spells'!A:A,0),0)&gt;0,"#Ranger",""),IF(IFERROR(MATCH(SUBSTITUTE(A354,".md",""),'Sorcerer Spells'!A:A,0),0)&gt;0,"#Sorcerer",""),IF(IFERROR(MATCH(SUBSTITUTE(A354,".md",""),'Warlock Spells'!A:A,0),0)&gt;0,"#Warlock",""),IF(IFERROR(MATCH(SUBSTITUTE(A354,".md",""),'Wizard Spells'!A:A,0),0)&gt;0,"#Wizard",""))</f>
        <v>#Paladin</v>
      </c>
    </row>
    <row r="355" spans="1:7" ht="150" x14ac:dyDescent="0.25">
      <c r="A355" t="s">
        <v>550</v>
      </c>
      <c r="B355" s="1" t="str">
        <f t="shared" si="20"/>
        <v>level 1 - #evocation Casting Time: Action Range: Self Components: V, S Duration: Instantaneous 
You unleash a wave of thunderous energy. Each creature in a 15- foot Cube originating from you makes a Constitution saving throw. On a failed save, a creature takes 2d8 Thunder damage and is pushed 10 feet away from you. On a successful save, a creature takes half as much damage only. 
In addition, unsecured objects that are entirely within the Cube are pushed 10 feet away from you, and a thunderous boom is audible within 300 feet. 
Using a Higher-Level Spell Slot. The damage increases by 1d8 for each spell slot level above 1_x000D_
#Bard #Druid #Sorcerer #Wizard</v>
      </c>
      <c r="C355" t="str">
        <f t="shared" si="21"/>
        <v>level 1</v>
      </c>
      <c r="D355" s="1" t="s">
        <v>551</v>
      </c>
      <c r="E355" t="str">
        <f t="shared" si="22"/>
        <v>level 1</v>
      </c>
      <c r="F355" t="str">
        <f t="shared" si="23"/>
        <v>NULL</v>
      </c>
      <c r="G355" t="str">
        <f>_xlfn.TEXTJOIN(" ",TRUE,IF(IFERROR(MATCH(SUBSTITUTE(A355,".md",""),'Bard Spells'!A:A,0),0)&gt;0,"#Bard",""),IF(IFERROR(MATCH(SUBSTITUTE(A355,".md",""),'Cleric Spells'!A:A,0),0)&gt;0,"#Cleric",""),IF(IFERROR(MATCH(SUBSTITUTE(A355,".md",""),'Druid Spells'!A:A,0),0)&gt;0,"#Druid",""),IF(IFERROR(MATCH(SUBSTITUTE(A355,".md",""),'Paladin Spells'!A:A,0),0)&gt;0,"#Paladin",""),IF(IFERROR(MATCH(SUBSTITUTE(A355,".md",""),'Ranger Spells'!A:A,0),0)&gt;0,"#Ranger",""),IF(IFERROR(MATCH(SUBSTITUTE(A355,".md",""),'Sorcerer Spells'!A:A,0),0)&gt;0,"#Sorcerer",""),IF(IFERROR(MATCH(SUBSTITUTE(A355,".md",""),'Warlock Spells'!A:A,0),0)&gt;0,"#Warlock",""),IF(IFERROR(MATCH(SUBSTITUTE(A355,".md",""),'Wizard Spells'!A:A,0),0)&gt;0,"#Wizard",""))</f>
        <v>#Bard #Druid #Sorcerer #Wizard</v>
      </c>
    </row>
    <row r="356" spans="1:7" ht="120" x14ac:dyDescent="0.25">
      <c r="A356" t="s">
        <v>552</v>
      </c>
      <c r="B356" s="1" t="str">
        <f t="shared" si="20"/>
        <v>level 9 - #transmutation Casting Time: Action Range: Self Components: V Duration: Instantaneous 
You briefly stop the flow of time for everyone but yourself. No time passes for other creatures, while you take 1d4 + 1 turns in a row, during which you can use actions and move as normal. 
This spell ends if one of the actions you use during this period, or any effects that you create during it, affects a creature other than you or an object being worn or carried by someone other than you. In addition, the spell ends if you move to a place more than 1,000 feet from the location where you cast it._x000D_
#Sorcerer #Wizard</v>
      </c>
      <c r="C356" t="str">
        <f t="shared" si="21"/>
        <v>level 9</v>
      </c>
      <c r="D356" s="1" t="s">
        <v>553</v>
      </c>
      <c r="E356" t="str">
        <f t="shared" si="22"/>
        <v>level 9</v>
      </c>
      <c r="F356" t="str">
        <f t="shared" si="23"/>
        <v>NULL</v>
      </c>
      <c r="G356" t="str">
        <f>_xlfn.TEXTJOIN(" ",TRUE,IF(IFERROR(MATCH(SUBSTITUTE(A356,".md",""),'Bard Spells'!A:A,0),0)&gt;0,"#Bard",""),IF(IFERROR(MATCH(SUBSTITUTE(A356,".md",""),'Cleric Spells'!A:A,0),0)&gt;0,"#Cleric",""),IF(IFERROR(MATCH(SUBSTITUTE(A356,".md",""),'Druid Spells'!A:A,0),0)&gt;0,"#Druid",""),IF(IFERROR(MATCH(SUBSTITUTE(A356,".md",""),'Paladin Spells'!A:A,0),0)&gt;0,"#Paladin",""),IF(IFERROR(MATCH(SUBSTITUTE(A356,".md",""),'Ranger Spells'!A:A,0),0)&gt;0,"#Ranger",""),IF(IFERROR(MATCH(SUBSTITUTE(A356,".md",""),'Sorcerer Spells'!A:A,0),0)&gt;0,"#Sorcerer",""),IF(IFERROR(MATCH(SUBSTITUTE(A356,".md",""),'Warlock Spells'!A:A,0),0)&gt;0,"#Warlock",""),IF(IFERROR(MATCH(SUBSTITUTE(A356,".md",""),'Wizard Spells'!A:A,0),0)&gt;0,"#Wizard",""))</f>
        <v>#Sorcerer #Wizard</v>
      </c>
    </row>
    <row r="357" spans="1:7" ht="135" x14ac:dyDescent="0.25">
      <c r="A357" t="s">
        <v>554</v>
      </c>
      <c r="B357" s="1" t="str">
        <f t="shared" si="20"/>
        <v>Level 0 - #necromancy Casting Time: Action Range: 60 feet Components: V, S Duration: Instantaneous 
You point at one creature you can see within range, and the single chime of a dolorous bell is audible within 10 feet of the target. The target must succeed on a Wisdom saving throw or take 1d8 Necrotic damage. If the target is missing any of its Hit Points it instead takes 1d12 Necrotic damage. 
Cantrip Upgrade. The damage increases by one die when you reach levels 5 (2d8 or 2d12), 11 (3d8 or 3d12), and 17 (4d8 or 4d12)_x000D_
#Cleric #Warlock #Wizard</v>
      </c>
      <c r="C357" t="str">
        <f t="shared" si="21"/>
        <v>Level 0</v>
      </c>
      <c r="D357" s="1" t="s">
        <v>555</v>
      </c>
      <c r="E357" t="str">
        <f t="shared" si="22"/>
        <v>Level 0</v>
      </c>
      <c r="F357" t="str">
        <f t="shared" si="23"/>
        <v>NULL</v>
      </c>
      <c r="G357" t="str">
        <f>_xlfn.TEXTJOIN(" ",TRUE,IF(IFERROR(MATCH(SUBSTITUTE(A357,".md",""),'Bard Spells'!A:A,0),0)&gt;0,"#Bard",""),IF(IFERROR(MATCH(SUBSTITUTE(A357,".md",""),'Cleric Spells'!A:A,0),0)&gt;0,"#Cleric",""),IF(IFERROR(MATCH(SUBSTITUTE(A357,".md",""),'Druid Spells'!A:A,0),0)&gt;0,"#Druid",""),IF(IFERROR(MATCH(SUBSTITUTE(A357,".md",""),'Paladin Spells'!A:A,0),0)&gt;0,"#Paladin",""),IF(IFERROR(MATCH(SUBSTITUTE(A357,".md",""),'Ranger Spells'!A:A,0),0)&gt;0,"#Ranger",""),IF(IFERROR(MATCH(SUBSTITUTE(A357,".md",""),'Sorcerer Spells'!A:A,0),0)&gt;0,"#Sorcerer",""),IF(IFERROR(MATCH(SUBSTITUTE(A357,".md",""),'Warlock Spells'!A:A,0),0)&gt;0,"#Warlock",""),IF(IFERROR(MATCH(SUBSTITUTE(A357,".md",""),'Wizard Spells'!A:A,0),0)&gt;0,"#Wizard",""))</f>
        <v>#Cleric #Warlock #Wizard</v>
      </c>
    </row>
    <row r="358" spans="1:7" ht="105" x14ac:dyDescent="0.25">
      <c r="A358" t="s">
        <v>556</v>
      </c>
      <c r="B358" s="1" t="str">
        <f t="shared" si="20"/>
        <v>level 3 - #divination Casting Time: Action Range: Touch Components: V, M (a miniature ziggurat) Duration: 1 hour 
This spell grants the creature you touch the ability to understand any spoken or signed language that it hears or sees. Moreover, when the target communicates by speaking or signing, any creature that knows at least one language can understand it if that creature can hear the speech or see the signing._x000D_
#Bard #Cleric #Sorcerer #Warlock #Wizard</v>
      </c>
      <c r="C358" t="str">
        <f t="shared" si="21"/>
        <v>level 3</v>
      </c>
      <c r="D358" s="1" t="s">
        <v>557</v>
      </c>
      <c r="E358" t="str">
        <f t="shared" si="22"/>
        <v>level 3</v>
      </c>
      <c r="F358" t="str">
        <f t="shared" si="23"/>
        <v>NULL</v>
      </c>
      <c r="G358" t="str">
        <f>_xlfn.TEXTJOIN(" ",TRUE,IF(IFERROR(MATCH(SUBSTITUTE(A358,".md",""),'Bard Spells'!A:A,0),0)&gt;0,"#Bard",""),IF(IFERROR(MATCH(SUBSTITUTE(A358,".md",""),'Cleric Spells'!A:A,0),0)&gt;0,"#Cleric",""),IF(IFERROR(MATCH(SUBSTITUTE(A358,".md",""),'Druid Spells'!A:A,0),0)&gt;0,"#Druid",""),IF(IFERROR(MATCH(SUBSTITUTE(A358,".md",""),'Paladin Spells'!A:A,0),0)&gt;0,"#Paladin",""),IF(IFERROR(MATCH(SUBSTITUTE(A358,".md",""),'Ranger Spells'!A:A,0),0)&gt;0,"#Ranger",""),IF(IFERROR(MATCH(SUBSTITUTE(A358,".md",""),'Sorcerer Spells'!A:A,0),0)&gt;0,"#Sorcerer",""),IF(IFERROR(MATCH(SUBSTITUTE(A358,".md",""),'Warlock Spells'!A:A,0),0)&gt;0,"#Warlock",""),IF(IFERROR(MATCH(SUBSTITUTE(A358,".md",""),'Wizard Spells'!A:A,0),0)&gt;0,"#Wizard",""))</f>
        <v>#Bard #Cleric #Sorcerer #Warlock #Wizard</v>
      </c>
    </row>
    <row r="359" spans="1:7" ht="105" x14ac:dyDescent="0.25">
      <c r="A359" t="s">
        <v>558</v>
      </c>
      <c r="B359" s="1" t="str">
        <f t="shared" si="20"/>
        <v>level 6 - #conjuration Casting Time: Action Range: 10 feet Components: V, S Duration: 1 minute 
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movement_x000D_
#Druid</v>
      </c>
      <c r="C359" t="str">
        <f t="shared" si="21"/>
        <v>level 6</v>
      </c>
      <c r="D359" s="1" t="s">
        <v>559</v>
      </c>
      <c r="E359" t="str">
        <f t="shared" si="22"/>
        <v>level 6</v>
      </c>
      <c r="F359" t="str">
        <f t="shared" si="23"/>
        <v>NULL</v>
      </c>
      <c r="G359" t="str">
        <f>_xlfn.TEXTJOIN(" ",TRUE,IF(IFERROR(MATCH(SUBSTITUTE(A359,".md",""),'Bard Spells'!A:A,0),0)&gt;0,"#Bard",""),IF(IFERROR(MATCH(SUBSTITUTE(A359,".md",""),'Cleric Spells'!A:A,0),0)&gt;0,"#Cleric",""),IF(IFERROR(MATCH(SUBSTITUTE(A359,".md",""),'Druid Spells'!A:A,0),0)&gt;0,"#Druid",""),IF(IFERROR(MATCH(SUBSTITUTE(A359,".md",""),'Paladin Spells'!A:A,0),0)&gt;0,"#Paladin",""),IF(IFERROR(MATCH(SUBSTITUTE(A359,".md",""),'Ranger Spells'!A:A,0),0)&gt;0,"#Ranger",""),IF(IFERROR(MATCH(SUBSTITUTE(A359,".md",""),'Sorcerer Spells'!A:A,0),0)&gt;0,"#Sorcerer",""),IF(IFERROR(MATCH(SUBSTITUTE(A359,".md",""),'Warlock Spells'!A:A,0),0)&gt;0,"#Warlock",""),IF(IFERROR(MATCH(SUBSTITUTE(A359,".md",""),'Wizard Spells'!A:A,0),0)&gt;0,"#Wizard",""))</f>
        <v>#Druid</v>
      </c>
    </row>
    <row r="360" spans="1:7" ht="135" x14ac:dyDescent="0.25">
      <c r="A360" t="s">
        <v>560</v>
      </c>
      <c r="B360" s="1" t="str">
        <f t="shared" si="20"/>
        <v>level 5 - #conjuration Casting Time: Action Range: Self Components: V, S Duration: #Concentration, up to 1 minute 
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only once on each of your turns. You must end each turn outside a tree_x000D_
#Druid #Ranger</v>
      </c>
      <c r="C360" t="str">
        <f t="shared" si="21"/>
        <v>level 5</v>
      </c>
      <c r="D360" s="1" t="s">
        <v>561</v>
      </c>
      <c r="E360" t="str">
        <f t="shared" si="22"/>
        <v>level 5</v>
      </c>
      <c r="F360" t="str">
        <f t="shared" si="23"/>
        <v>NULL</v>
      </c>
      <c r="G360" t="str">
        <f>_xlfn.TEXTJOIN(" ",TRUE,IF(IFERROR(MATCH(SUBSTITUTE(A360,".md",""),'Bard Spells'!A:A,0),0)&gt;0,"#Bard",""),IF(IFERROR(MATCH(SUBSTITUTE(A360,".md",""),'Cleric Spells'!A:A,0),0)&gt;0,"#Cleric",""),IF(IFERROR(MATCH(SUBSTITUTE(A360,".md",""),'Druid Spells'!A:A,0),0)&gt;0,"#Druid",""),IF(IFERROR(MATCH(SUBSTITUTE(A360,".md",""),'Paladin Spells'!A:A,0),0)&gt;0,"#Paladin",""),IF(IFERROR(MATCH(SUBSTITUTE(A360,".md",""),'Ranger Spells'!A:A,0),0)&gt;0,"#Ranger",""),IF(IFERROR(MATCH(SUBSTITUTE(A360,".md",""),'Sorcerer Spells'!A:A,0),0)&gt;0,"#Sorcerer",""),IF(IFERROR(MATCH(SUBSTITUTE(A360,".md",""),'Warlock Spells'!A:A,0),0)&gt;0,"#Warlock",""),IF(IFERROR(MATCH(SUBSTITUTE(A360,".md",""),'Wizard Spells'!A:A,0),0)&gt;0,"#Wizard",""))</f>
        <v>#Druid #Ranger</v>
      </c>
    </row>
    <row r="361" spans="1:7" ht="270" x14ac:dyDescent="0.25">
      <c r="A361" t="s">
        <v>562</v>
      </c>
      <c r="B361" s="1" t="str">
        <f t="shared" si="20"/>
        <v>level 9 - #transmutation Casting Time: Action Range: 30 feet Components: V, S, M (a drop of mercury, a dollop of gum arabic, and a wisp of smoke) Duration: #Concentration, up to 1 hour 
Choose one creature or nonmagical object that you can see within range. The creature shape-shifts into a different creature or a nonmagical object, or the object shape-shifts into a creature (the object must be neither worn nor carried). The transformation lasts for the duration or until the target dies or is destroyed, but if you maintain #Concentration on this spell for the full duration, the spell lasts until dispelled. 
An unwilling creature can make a Wisdom saving throw, and if it succeeds, it isn't affected by this spell. 
**Creature into Creature**. If you turn a creature into another kind of creature, the new form can be any kind you choose that has a Challenge Rating equal to or less than the target's Challenge Rating or level. The target's game statistics are replaced by the stat block of the new form, but it retains its Hit Points, Hit Point Dice, alignment, and personality. 
The target gains a number of Temporary Hit Points equal to the Hit Points of the new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 
**Object into Creature**. You can turn an object into any kind of creature, as long as the creature's size is no larger than the object's size and the creature has a Challenge Rating of 9 or lower. The creature is Friendly to you and your allies. In combat, it takes its turns immediately after yours, and it obeys your commands. If the spell lasts more than an hour, you no longer control the creature. It might remain Friendly to you, depending on how you have treated it. 
**Creature into Object**. If you turn a creature into an object, it transforms along with whatever it is wearing and carrying into that form, as long as the object's size is no larger than the creature's size. The creature's statistics become those of the object, and the creature has no memory of time spent in this form after the spell ends and it returns to normal._x000D_
#Bard #Warlock #Wizard</v>
      </c>
      <c r="C361" t="str">
        <f t="shared" si="21"/>
        <v>level 9</v>
      </c>
      <c r="D361" s="1" t="s">
        <v>705</v>
      </c>
      <c r="E361" t="str">
        <f t="shared" si="22"/>
        <v>level 9</v>
      </c>
      <c r="F361" t="str">
        <f t="shared" si="23"/>
        <v>NULL</v>
      </c>
      <c r="G361" t="str">
        <f>_xlfn.TEXTJOIN(" ",TRUE,IF(IFERROR(MATCH(SUBSTITUTE(A361,".md",""),'Bard Spells'!A:A,0),0)&gt;0,"#Bard",""),IF(IFERROR(MATCH(SUBSTITUTE(A361,".md",""),'Cleric Spells'!A:A,0),0)&gt;0,"#Cleric",""),IF(IFERROR(MATCH(SUBSTITUTE(A361,".md",""),'Druid Spells'!A:A,0),0)&gt;0,"#Druid",""),IF(IFERROR(MATCH(SUBSTITUTE(A361,".md",""),'Paladin Spells'!A:A,0),0)&gt;0,"#Paladin",""),IF(IFERROR(MATCH(SUBSTITUTE(A361,".md",""),'Ranger Spells'!A:A,0),0)&gt;0,"#Ranger",""),IF(IFERROR(MATCH(SUBSTITUTE(A361,".md",""),'Sorcerer Spells'!A:A,0),0)&gt;0,"#Sorcerer",""),IF(IFERROR(MATCH(SUBSTITUTE(A361,".md",""),'Warlock Spells'!A:A,0),0)&gt;0,"#Warlock",""),IF(IFERROR(MATCH(SUBSTITUTE(A361,".md",""),'Wizard Spells'!A:A,0),0)&gt;0,"#Wizard",""))</f>
        <v>#Bard #Warlock #Wizard</v>
      </c>
    </row>
    <row r="362" spans="1:7" ht="135" x14ac:dyDescent="0.25">
      <c r="A362" t="s">
        <v>563</v>
      </c>
      <c r="B362" s="1" t="str">
        <f t="shared" si="20"/>
        <v>level 9 - #necromancy Casting Time: 1 hour Range: Touch Components: V, S, M (diamonds worth 25,000+ GP, which the spell consumes) Duration: Instantaneous 
You touch a creature that has been dead for no longer than 200 years and that died for any reason except old age. The creature is revived with all its Hit Points. 
This spell closes all wounds, neutralizes any poison, cures all magical contagions, and lifts any curses affecting the creature when it died. The spell replaces damaged or missing organs and limbs. If the creature was Undead, it is restored to its non-Undead form. 
The spell can provide a new body if the original no longer exists, in which case you must speak the creature's name. The creature then appears in an unoccupied space you choose within 10 feet of you_x000D_
#Cleric #Druid</v>
      </c>
      <c r="C362" t="str">
        <f t="shared" si="21"/>
        <v>level 9</v>
      </c>
      <c r="D362" s="1" t="s">
        <v>564</v>
      </c>
      <c r="E362" t="str">
        <f t="shared" si="22"/>
        <v>level 9</v>
      </c>
      <c r="F362" t="str">
        <f t="shared" si="23"/>
        <v>NULL</v>
      </c>
      <c r="G362" t="str">
        <f>_xlfn.TEXTJOIN(" ",TRUE,IF(IFERROR(MATCH(SUBSTITUTE(A362,".md",""),'Bard Spells'!A:A,0),0)&gt;0,"#Bard",""),IF(IFERROR(MATCH(SUBSTITUTE(A362,".md",""),'Cleric Spells'!A:A,0),0)&gt;0,"#Cleric",""),IF(IFERROR(MATCH(SUBSTITUTE(A362,".md",""),'Druid Spells'!A:A,0),0)&gt;0,"#Druid",""),IF(IFERROR(MATCH(SUBSTITUTE(A362,".md",""),'Paladin Spells'!A:A,0),0)&gt;0,"#Paladin",""),IF(IFERROR(MATCH(SUBSTITUTE(A362,".md",""),'Ranger Spells'!A:A,0),0)&gt;0,"#Ranger",""),IF(IFERROR(MATCH(SUBSTITUTE(A362,".md",""),'Sorcerer Spells'!A:A,0),0)&gt;0,"#Sorcerer",""),IF(IFERROR(MATCH(SUBSTITUTE(A362,".md",""),'Warlock Spells'!A:A,0),0)&gt;0,"#Warlock",""),IF(IFERROR(MATCH(SUBSTITUTE(A362,".md",""),'Wizard Spells'!A:A,0),0)&gt;0,"#Wizard",""))</f>
        <v>#Cleric #Druid</v>
      </c>
    </row>
    <row r="363" spans="1:7" ht="90" x14ac:dyDescent="0.25">
      <c r="A363" t="s">
        <v>565</v>
      </c>
      <c r="B363" s="1" t="str">
        <f t="shared" si="20"/>
        <v>level 6 - #divination Casting Time: Action Range: Touch Components: V, S, M (mushroom powder worth 25+ GP, which the spell consumees) Duration: 1 hour 
For the duration, the willing creature you touch has Truesight with a range of 120 feet._x000D_
#Bard #Cleric #Sorcerer #Warlock #Wizard</v>
      </c>
      <c r="C363" t="str">
        <f t="shared" si="21"/>
        <v>level 6</v>
      </c>
      <c r="D363" s="1" t="s">
        <v>566</v>
      </c>
      <c r="E363" t="str">
        <f t="shared" si="22"/>
        <v>level 6</v>
      </c>
      <c r="F363" t="str">
        <f t="shared" si="23"/>
        <v>NULL</v>
      </c>
      <c r="G363" t="str">
        <f>_xlfn.TEXTJOIN(" ",TRUE,IF(IFERROR(MATCH(SUBSTITUTE(A363,".md",""),'Bard Spells'!A:A,0),0)&gt;0,"#Bard",""),IF(IFERROR(MATCH(SUBSTITUTE(A363,".md",""),'Cleric Spells'!A:A,0),0)&gt;0,"#Cleric",""),IF(IFERROR(MATCH(SUBSTITUTE(A363,".md",""),'Druid Spells'!A:A,0),0)&gt;0,"#Druid",""),IF(IFERROR(MATCH(SUBSTITUTE(A363,".md",""),'Paladin Spells'!A:A,0),0)&gt;0,"#Paladin",""),IF(IFERROR(MATCH(SUBSTITUTE(A363,".md",""),'Ranger Spells'!A:A,0),0)&gt;0,"#Ranger",""),IF(IFERROR(MATCH(SUBSTITUTE(A363,".md",""),'Sorcerer Spells'!A:A,0),0)&gt;0,"#Sorcerer",""),IF(IFERROR(MATCH(SUBSTITUTE(A363,".md",""),'Warlock Spells'!A:A,0),0)&gt;0,"#Warlock",""),IF(IFERROR(MATCH(SUBSTITUTE(A363,".md",""),'Wizard Spells'!A:A,0),0)&gt;0,"#Wizard",""))</f>
        <v>#Bard #Cleric #Sorcerer #Warlock #Wizard</v>
      </c>
    </row>
    <row r="364" spans="1:7" ht="135" x14ac:dyDescent="0.25">
      <c r="A364" t="s">
        <v>567</v>
      </c>
      <c r="B364" s="1" t="str">
        <f t="shared" si="20"/>
        <v>level 0 - #divination Casting Time: Action Range: Self Components: S, M (a weapon with which you have proficiency and that is worth 1+ CP) Duration: Instantaneous 
Guided by a flash of magical insight, you make one attack with the weapon used in the spell's casting. The attack uses your spellcasting ability for the attack and damage rolls instead of using Strength or Dexterity. If the attack deals damage, it can be Radiant damage or the weapon's normal damage type (your choice). 
**Cantrip Upgrade**. Whether you deal Radiant damage or the weapon's normal damage type, the attack deals extra Radiant damage when you reach levels 5 (1d6), 11 (2d6), and 17 (3d6)_x000D_
#Bard #Sorcerer #Warlock #Wizard</v>
      </c>
      <c r="C364" t="str">
        <f t="shared" si="21"/>
        <v>level 0</v>
      </c>
      <c r="D364" s="1" t="s">
        <v>568</v>
      </c>
      <c r="E364" t="str">
        <f t="shared" si="22"/>
        <v>level 0</v>
      </c>
      <c r="F364" t="str">
        <f t="shared" si="23"/>
        <v>NULL</v>
      </c>
      <c r="G364" t="str">
        <f>_xlfn.TEXTJOIN(" ",TRUE,IF(IFERROR(MATCH(SUBSTITUTE(A364,".md",""),'Bard Spells'!A:A,0),0)&gt;0,"#Bard",""),IF(IFERROR(MATCH(SUBSTITUTE(A364,".md",""),'Cleric Spells'!A:A,0),0)&gt;0,"#Cleric",""),IF(IFERROR(MATCH(SUBSTITUTE(A364,".md",""),'Druid Spells'!A:A,0),0)&gt;0,"#Druid",""),IF(IFERROR(MATCH(SUBSTITUTE(A364,".md",""),'Paladin Spells'!A:A,0),0)&gt;0,"#Paladin",""),IF(IFERROR(MATCH(SUBSTITUTE(A364,".md",""),'Ranger Spells'!A:A,0),0)&gt;0,"#Ranger",""),IF(IFERROR(MATCH(SUBSTITUTE(A364,".md",""),'Sorcerer Spells'!A:A,0),0)&gt;0,"#Sorcerer",""),IF(IFERROR(MATCH(SUBSTITUTE(A364,".md",""),'Warlock Spells'!A:A,0),0)&gt;0,"#Warlock",""),IF(IFERROR(MATCH(SUBSTITUTE(A364,".md",""),'Wizard Spells'!A:A,0),0)&gt;0,"#Wizard",""))</f>
        <v>#Bard #Sorcerer #Warlock #Wizard</v>
      </c>
    </row>
    <row r="365" spans="1:7" ht="180" x14ac:dyDescent="0.25">
      <c r="A365" t="s">
        <v>569</v>
      </c>
      <c r="B365" s="1" t="str">
        <f t="shared" si="20"/>
        <v>level 8 - #conjuration Casting Time: 1 minute Range: 1 mile Components: V, S Duration: #Concentration, up to 6 rounds 
A wall of water springs into existence at a point you choose within range. You can make the wall up to 300 feet long, 300 feet high, and 50 feet thick. The wall lasts for the duration. When the wall appears, each creature in its area makes a Strength saving throw, taking 6d10 Bludgeoning damage on a failed save or half as much damage on a successful one.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the wall deals on later rounds is reduced by 1d10. When the wall reaches O feet in height, the spell ends. 
A creature caught in the wall can move by swimming. Because of the wave's force, though, the creature must succeed on a Strength (Athletics) check against your spell save DC to move at all. If it fails the check, it can't move. A creature that moves out of the wall falls to the ground._x000D_
#Druid</v>
      </c>
      <c r="C365" t="str">
        <f t="shared" si="21"/>
        <v>level 8</v>
      </c>
      <c r="D365" s="1" t="s">
        <v>570</v>
      </c>
      <c r="E365" t="str">
        <f t="shared" si="22"/>
        <v>level 8</v>
      </c>
      <c r="F365" t="str">
        <f t="shared" si="23"/>
        <v>NULL</v>
      </c>
      <c r="G365" t="str">
        <f>_xlfn.TEXTJOIN(" ",TRUE,IF(IFERROR(MATCH(SUBSTITUTE(A365,".md",""),'Bard Spells'!A:A,0),0)&gt;0,"#Bard",""),IF(IFERROR(MATCH(SUBSTITUTE(A365,".md",""),'Cleric Spells'!A:A,0),0)&gt;0,"#Cleric",""),IF(IFERROR(MATCH(SUBSTITUTE(A365,".md",""),'Druid Spells'!A:A,0),0)&gt;0,"#Druid",""),IF(IFERROR(MATCH(SUBSTITUTE(A365,".md",""),'Paladin Spells'!A:A,0),0)&gt;0,"#Paladin",""),IF(IFERROR(MATCH(SUBSTITUTE(A365,".md",""),'Ranger Spells'!A:A,0),0)&gt;0,"#Ranger",""),IF(IFERROR(MATCH(SUBSTITUTE(A365,".md",""),'Sorcerer Spells'!A:A,0),0)&gt;0,"#Sorcerer",""),IF(IFERROR(MATCH(SUBSTITUTE(A365,".md",""),'Warlock Spells'!A:A,0),0)&gt;0,"#Warlock",""),IF(IFERROR(MATCH(SUBSTITUTE(A365,".md",""),'Wizard Spells'!A:A,0),0)&gt;0,"#Wizard",""))</f>
        <v>#Druid</v>
      </c>
    </row>
    <row r="366" spans="1:7" ht="165" x14ac:dyDescent="0.25">
      <c r="A366" t="s">
        <v>571</v>
      </c>
      <c r="B366" s="1" t="str">
        <f t="shared" si="20"/>
        <v>level 1 - #conjuration ( #ritual ) Casting Time: Action or Ritual Range: 60 feet Components: V, S, M (a bit of string and of wood) Duration: 1 hour 
This spell creates an Invisible, mindless, shapeless, Medium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could do, such as fetching things, cleaning, mending, folding clothes, lighting fires, serving food, and pouring drinks. Once you give the command, the servant performs the task to the best of its ability until it completes the task, then waits for your next command. 
If you command the servant to perform a task that would move it more than 60 feet away from you, the spell ends_x000D_
#Bard #Warlock #Wizard</v>
      </c>
      <c r="C366" t="str">
        <f t="shared" si="21"/>
        <v>level 1</v>
      </c>
      <c r="D366" s="1" t="s">
        <v>658</v>
      </c>
      <c r="E366" t="str">
        <f t="shared" si="22"/>
        <v>level 1</v>
      </c>
      <c r="F366" t="str">
        <f t="shared" si="23"/>
        <v>NULL</v>
      </c>
      <c r="G366" t="str">
        <f>_xlfn.TEXTJOIN(" ",TRUE,IF(IFERROR(MATCH(SUBSTITUTE(A366,".md",""),'Bard Spells'!A:A,0),0)&gt;0,"#Bard",""),IF(IFERROR(MATCH(SUBSTITUTE(A366,".md",""),'Cleric Spells'!A:A,0),0)&gt;0,"#Cleric",""),IF(IFERROR(MATCH(SUBSTITUTE(A366,".md",""),'Druid Spells'!A:A,0),0)&gt;0,"#Druid",""),IF(IFERROR(MATCH(SUBSTITUTE(A366,".md",""),'Paladin Spells'!A:A,0),0)&gt;0,"#Paladin",""),IF(IFERROR(MATCH(SUBSTITUTE(A366,".md",""),'Ranger Spells'!A:A,0),0)&gt;0,"#Ranger",""),IF(IFERROR(MATCH(SUBSTITUTE(A366,".md",""),'Sorcerer Spells'!A:A,0),0)&gt;0,"#Sorcerer",""),IF(IFERROR(MATCH(SUBSTITUTE(A366,".md",""),'Warlock Spells'!A:A,0),0)&gt;0,"#Warlock",""),IF(IFERROR(MATCH(SUBSTITUTE(A366,".md",""),'Wizard Spells'!A:A,0),0)&gt;0,"#Wizard",""))</f>
        <v>#Bard #Warlock #Wizard</v>
      </c>
    </row>
    <row r="367" spans="1:7" ht="150" x14ac:dyDescent="0.25">
      <c r="A367" t="s">
        <v>572</v>
      </c>
      <c r="B367" s="1" t="str">
        <f t="shared" si="20"/>
        <v>level 3 - #necromancy Casting Time: Action Range: Self Components: V, S Duration: #Concentration, up to 1 minute 
The touch of your shadow-wreathed hand can siphon life force from others to heal your wounds. Make a melee spell attack against one creature within reach. On a hit, the target takes 3d6 Necrotic damage, and you regain Hit Points equal to half the amount of Necrotic damage dealt. 
Until the spell ends, you can make the attack again on each of your turns as a Magic action, targeting the same creature or a different one. 
Using a Higher-Level Spell Slot. The damage increases by 1d6 for each spell slot level above 3._x000D_
#Sorcerer #Warlock #Wizard</v>
      </c>
      <c r="C367" t="str">
        <f t="shared" si="21"/>
        <v>level 3</v>
      </c>
      <c r="D367" s="1" t="s">
        <v>573</v>
      </c>
      <c r="E367" t="str">
        <f t="shared" si="22"/>
        <v>level 3</v>
      </c>
      <c r="F367" t="str">
        <f t="shared" si="23"/>
        <v>NULL</v>
      </c>
      <c r="G367" t="str">
        <f>_xlfn.TEXTJOIN(" ",TRUE,IF(IFERROR(MATCH(SUBSTITUTE(A367,".md",""),'Bard Spells'!A:A,0),0)&gt;0,"#Bard",""),IF(IFERROR(MATCH(SUBSTITUTE(A367,".md",""),'Cleric Spells'!A:A,0),0)&gt;0,"#Cleric",""),IF(IFERROR(MATCH(SUBSTITUTE(A367,".md",""),'Druid Spells'!A:A,0),0)&gt;0,"#Druid",""),IF(IFERROR(MATCH(SUBSTITUTE(A367,".md",""),'Paladin Spells'!A:A,0),0)&gt;0,"#Paladin",""),IF(IFERROR(MATCH(SUBSTITUTE(A367,".md",""),'Ranger Spells'!A:A,0),0)&gt;0,"#Ranger",""),IF(IFERROR(MATCH(SUBSTITUTE(A367,".md",""),'Sorcerer Spells'!A:A,0),0)&gt;0,"#Sorcerer",""),IF(IFERROR(MATCH(SUBSTITUTE(A367,".md",""),'Warlock Spells'!A:A,0),0)&gt;0,"#Warlock",""),IF(IFERROR(MATCH(SUBSTITUTE(A367,".md",""),'Wizard Spells'!A:A,0),0)&gt;0,"#Wizard",""))</f>
        <v>#Sorcerer #Warlock #Wizard</v>
      </c>
    </row>
    <row r="368" spans="1:7" ht="135" x14ac:dyDescent="0.25">
      <c r="A368" t="s">
        <v>574</v>
      </c>
      <c r="B368" s="1" t="str">
        <f t="shared" si="20"/>
        <v>level 0 - #enchantment Casting Time: Action Range: 60 feet Components: V Duration: Instantaneous 
You unleash a string of insults laced with subtle enchantments at one creature you can see or hear within range. The target must succeed on a Wisdom saving throw or take 1d6 Psychic damage and have Disadvantage on the next attack roll it makes before the end of its next turn. 
Cantrip Upgrade. The damage increases by 1d6 when you reach level 5 (2d6), level 11 (3d6), and level 17 (4d6)._x000D_
#Bard</v>
      </c>
      <c r="C368" t="str">
        <f t="shared" si="21"/>
        <v>level 0</v>
      </c>
      <c r="D368" s="1" t="s">
        <v>575</v>
      </c>
      <c r="E368" t="str">
        <f t="shared" si="22"/>
        <v>level 0</v>
      </c>
      <c r="F368" t="str">
        <f t="shared" si="23"/>
        <v>NULL</v>
      </c>
      <c r="G368" t="str">
        <f>_xlfn.TEXTJOIN(" ",TRUE,IF(IFERROR(MATCH(SUBSTITUTE(A368,".md",""),'Bard Spells'!A:A,0),0)&gt;0,"#Bard",""),IF(IFERROR(MATCH(SUBSTITUTE(A368,".md",""),'Cleric Spells'!A:A,0),0)&gt;0,"#Cleric",""),IF(IFERROR(MATCH(SUBSTITUTE(A368,".md",""),'Druid Spells'!A:A,0),0)&gt;0,"#Druid",""),IF(IFERROR(MATCH(SUBSTITUTE(A368,".md",""),'Paladin Spells'!A:A,0),0)&gt;0,"#Paladin",""),IF(IFERROR(MATCH(SUBSTITUTE(A368,".md",""),'Ranger Spells'!A:A,0),0)&gt;0,"#Ranger",""),IF(IFERROR(MATCH(SUBSTITUTE(A368,".md",""),'Sorcerer Spells'!A:A,0),0)&gt;0,"#Sorcerer",""),IF(IFERROR(MATCH(SUBSTITUTE(A368,".md",""),'Warlock Spells'!A:A,0),0)&gt;0,"#Warlock",""),IF(IFERROR(MATCH(SUBSTITUTE(A368,".md",""),'Wizard Spells'!A:A,0),0)&gt;0,"#Wizard",""))</f>
        <v>#Bard</v>
      </c>
    </row>
    <row r="369" spans="1:7" ht="135" x14ac:dyDescent="0.25">
      <c r="A369" t="s">
        <v>576</v>
      </c>
      <c r="B369" s="1" t="str">
        <f t="shared" si="20"/>
        <v>level 4 - #evocation Casting Time: Action Range: 150 feet Components: V, S, M (a drop of bile) Duration: Instantaneous 
You point at a location within range, and a glowing, 1-foot- diameter ball of acid streaks there and explodes in a 20-foot-radius Sphere. Each creature in that area makes a Dexterity saving throw. On a failed save, a creature takes 10d4 Acid damage and another Sd4 Acid damage at the end of its next turn. On a successful save, a creature takes half the initial damage only. 
Using a Higher-Level Spell Slot. The initial damage increases by 2d4 for each spell slot level above 4_x000D_
#Sorcerer #Wizard</v>
      </c>
      <c r="C369" t="str">
        <f t="shared" si="21"/>
        <v>level 4</v>
      </c>
      <c r="D369" s="1" t="s">
        <v>577</v>
      </c>
      <c r="E369" t="str">
        <f t="shared" si="22"/>
        <v>level 4</v>
      </c>
      <c r="F369" t="str">
        <f t="shared" si="23"/>
        <v>NULL</v>
      </c>
      <c r="G369" t="str">
        <f>_xlfn.TEXTJOIN(" ",TRUE,IF(IFERROR(MATCH(SUBSTITUTE(A369,".md",""),'Bard Spells'!A:A,0),0)&gt;0,"#Bard",""),IF(IFERROR(MATCH(SUBSTITUTE(A369,".md",""),'Cleric Spells'!A:A,0),0)&gt;0,"#Cleric",""),IF(IFERROR(MATCH(SUBSTITUTE(A369,".md",""),'Druid Spells'!A:A,0),0)&gt;0,"#Druid",""),IF(IFERROR(MATCH(SUBSTITUTE(A369,".md",""),'Paladin Spells'!A:A,0),0)&gt;0,"#Paladin",""),IF(IFERROR(MATCH(SUBSTITUTE(A369,".md",""),'Ranger Spells'!A:A,0),0)&gt;0,"#Ranger",""),IF(IFERROR(MATCH(SUBSTITUTE(A369,".md",""),'Sorcerer Spells'!A:A,0),0)&gt;0,"#Sorcerer",""),IF(IFERROR(MATCH(SUBSTITUTE(A369,".md",""),'Warlock Spells'!A:A,0),0)&gt;0,"#Warlock",""),IF(IFERROR(MATCH(SUBSTITUTE(A369,".md",""),'Wizard Spells'!A:A,0),0)&gt;0,"#Wizard",""))</f>
        <v>#Sorcerer #Wizard</v>
      </c>
    </row>
    <row r="370" spans="1:7" ht="180" x14ac:dyDescent="0.25">
      <c r="A370" t="s">
        <v>578</v>
      </c>
      <c r="B370" s="1" t="str">
        <f t="shared" si="20"/>
        <v>level 4 - #evocation Casting Time: Action Range: 120 feet Components: V, S, M (a piece of charcoal) Duration: #Concentration, up to 1 minute 
You create a wall of fire on a solid surface within range. You can make the wall up to 60 feet long, 20 feet high, and 1 foot thick, or a ringed wall up to 20 feet in diameter, 20 feet high, and 1 foot thick. The wall is opaque and lasts for the duration. 
When the wall appears, each creature in its area makes a Dexterity saving throw, taking 5d8 Fire damage on a failed save or half as much damage on a successful one.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 
Using a Higher-Level Spell Slot. The damage increases by 1d8 for each spell slot level above 4._x000D_
#Druid #Sorcerer #Wizard</v>
      </c>
      <c r="C370" t="str">
        <f t="shared" si="21"/>
        <v>level 4</v>
      </c>
      <c r="D370" s="1" t="s">
        <v>579</v>
      </c>
      <c r="E370" t="str">
        <f t="shared" si="22"/>
        <v>level 4</v>
      </c>
      <c r="F370" t="str">
        <f t="shared" si="23"/>
        <v>NULL</v>
      </c>
      <c r="G370" t="str">
        <f>_xlfn.TEXTJOIN(" ",TRUE,IF(IFERROR(MATCH(SUBSTITUTE(A370,".md",""),'Bard Spells'!A:A,0),0)&gt;0,"#Bard",""),IF(IFERROR(MATCH(SUBSTITUTE(A370,".md",""),'Cleric Spells'!A:A,0),0)&gt;0,"#Cleric",""),IF(IFERROR(MATCH(SUBSTITUTE(A370,".md",""),'Druid Spells'!A:A,0),0)&gt;0,"#Druid",""),IF(IFERROR(MATCH(SUBSTITUTE(A370,".md",""),'Paladin Spells'!A:A,0),0)&gt;0,"#Paladin",""),IF(IFERROR(MATCH(SUBSTITUTE(A370,".md",""),'Ranger Spells'!A:A,0),0)&gt;0,"#Ranger",""),IF(IFERROR(MATCH(SUBSTITUTE(A370,".md",""),'Sorcerer Spells'!A:A,0),0)&gt;0,"#Sorcerer",""),IF(IFERROR(MATCH(SUBSTITUTE(A370,".md",""),'Warlock Spells'!A:A,0),0)&gt;0,"#Warlock",""),IF(IFERROR(MATCH(SUBSTITUTE(A370,".md",""),'Wizard Spells'!A:A,0),0)&gt;0,"#Wizard",""))</f>
        <v>#Druid #Sorcerer #Wizard</v>
      </c>
    </row>
    <row r="371" spans="1:7" ht="150" x14ac:dyDescent="0.25">
      <c r="A371" t="s">
        <v>580</v>
      </c>
      <c r="B371" s="1" t="str">
        <f t="shared" si="20"/>
        <v>level 5 - #evocation Casting Time: Action Range: 120 feet Components: V, S, M (a sharp of glass) Duration: #Concentration, up to 10 minutes 
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globe with a radius of up to 10 feet, or you can shape a flat surface made up of ten 10-foot-by-10-foot panels. Each panel must be contiguous with another panel. In any form, the wall is 1/4 inch thick and lasts for the duration. If the wall cuts through a creature's space when it appears, the creature is pushed to one side of the wall (you choose which side). 
Nothing can physically pass through the wall. It is immune to all damage and can't be dispelled by Dispel Magic. A Disintegrate spell destroys the wall instantly, however. The wall also extends into the Ethereal Plane and blocks ethereal travel through the wall._x000D_
#Wizard</v>
      </c>
      <c r="C371" t="str">
        <f t="shared" si="21"/>
        <v>level 5</v>
      </c>
      <c r="D371" s="1" t="s">
        <v>581</v>
      </c>
      <c r="E371" t="str">
        <f t="shared" si="22"/>
        <v>level 5</v>
      </c>
      <c r="F371" t="str">
        <f t="shared" si="23"/>
        <v>NULL</v>
      </c>
      <c r="G371" t="str">
        <f>_xlfn.TEXTJOIN(" ",TRUE,IF(IFERROR(MATCH(SUBSTITUTE(A371,".md",""),'Bard Spells'!A:A,0),0)&gt;0,"#Bard",""),IF(IFERROR(MATCH(SUBSTITUTE(A371,".md",""),'Cleric Spells'!A:A,0),0)&gt;0,"#Cleric",""),IF(IFERROR(MATCH(SUBSTITUTE(A371,".md",""),'Druid Spells'!A:A,0),0)&gt;0,"#Druid",""),IF(IFERROR(MATCH(SUBSTITUTE(A371,".md",""),'Paladin Spells'!A:A,0),0)&gt;0,"#Paladin",""),IF(IFERROR(MATCH(SUBSTITUTE(A371,".md",""),'Ranger Spells'!A:A,0),0)&gt;0,"#Ranger",""),IF(IFERROR(MATCH(SUBSTITUTE(A371,".md",""),'Sorcerer Spells'!A:A,0),0)&gt;0,"#Sorcerer",""),IF(IFERROR(MATCH(SUBSTITUTE(A371,".md",""),'Warlock Spells'!A:A,0),0)&gt;0,"#Warlock",""),IF(IFERROR(MATCH(SUBSTITUTE(A371,".md",""),'Wizard Spells'!A:A,0),0)&gt;0,"#Wizard",""))</f>
        <v>#Wizard</v>
      </c>
    </row>
    <row r="372" spans="1:7" ht="210" x14ac:dyDescent="0.25">
      <c r="A372" t="s">
        <v>582</v>
      </c>
      <c r="B372" s="1" t="str">
        <f t="shared" si="20"/>
        <v>level 6 - #evocation Casting Time: Action Range: 120 feet Components: V, S, M (a piece of quartz) Duration: #Concentration, up to 10 minutes 
You create a wall of ice on a solid surface within range. You can form it into a hemispherical dome or a globe with a radius of up to 10 feet, or you can shape a flat surface made up of ten 10-foot- square panels. Each panel must be contiguous with another panel. In any form, the wall is 1 foot thick and lasts for the duration. 
If the wall cuts through a creature's space when it appears, the creature is pushed to one side of the wall (you choose which side) and makes a Dexterity saving throw, taking 10d6 Cold damage on a failed save or half as much damage on a successful one. 
The wall is an object that can be damaged and thus breached. It has AC 12 and 30 Hit Points per 10-foot section, and it has Immunity to Cold, Poison, and Psychic damage and Vulnerability to Fire damage. Reducing a 10-foot section of wall to 0 Hit Points destroys it and leaves behind a sheet of frigid air in the space the wall occupied. 
A creature moving through the sheet of frigid air for the first time on a turn makes a Constitution saving throw, taking 5d6 Cold damage on a failed save or half as much damage on a successful one. 
Using a Higher-Level Spell Slot. The damage the wall deals when it appears increases by 2d6 and the damage from passing through the sheet of frigid air increases by 1d6 for each spell slot level above 6_x000D_
#Wizard</v>
      </c>
      <c r="C372" t="str">
        <f t="shared" si="21"/>
        <v>level 6</v>
      </c>
      <c r="D372" s="1" t="s">
        <v>583</v>
      </c>
      <c r="E372" t="str">
        <f t="shared" si="22"/>
        <v>level 6</v>
      </c>
      <c r="F372" t="str">
        <f t="shared" si="23"/>
        <v>NULL</v>
      </c>
      <c r="G372" t="str">
        <f>_xlfn.TEXTJOIN(" ",TRUE,IF(IFERROR(MATCH(SUBSTITUTE(A372,".md",""),'Bard Spells'!A:A,0),0)&gt;0,"#Bard",""),IF(IFERROR(MATCH(SUBSTITUTE(A372,".md",""),'Cleric Spells'!A:A,0),0)&gt;0,"#Cleric",""),IF(IFERROR(MATCH(SUBSTITUTE(A372,".md",""),'Druid Spells'!A:A,0),0)&gt;0,"#Druid",""),IF(IFERROR(MATCH(SUBSTITUTE(A372,".md",""),'Paladin Spells'!A:A,0),0)&gt;0,"#Paladin",""),IF(IFERROR(MATCH(SUBSTITUTE(A372,".md",""),'Ranger Spells'!A:A,0),0)&gt;0,"#Ranger",""),IF(IFERROR(MATCH(SUBSTITUTE(A372,".md",""),'Sorcerer Spells'!A:A,0),0)&gt;0,"#Sorcerer",""),IF(IFERROR(MATCH(SUBSTITUTE(A372,".md",""),'Warlock Spells'!A:A,0),0)&gt;0,"#Warlock",""),IF(IFERROR(MATCH(SUBSTITUTE(A372,".md",""),'Wizard Spells'!A:A,0),0)&gt;0,"#Wizard",""))</f>
        <v>#Wizard</v>
      </c>
    </row>
    <row r="373" spans="1:7" ht="225" x14ac:dyDescent="0.25">
      <c r="A373" t="s">
        <v>584</v>
      </c>
      <c r="B373" s="1" t="str">
        <f t="shared" si="20"/>
        <v>level 5 - #evocation Casting Time: Action Range: 120 feet Components: V, S, M (a cube of granite) Duration: #Concentration, up to 10 minutes 
A nonmagical wall of solid stone springs into existence at a point you choose within range. The wall is 6 inches thick and is composed of ten 10-foot-by-10-foot panels. Each panel must be contiguous with another panel. Alternatively, you can create 10- foot-by-20-foot panels that are only 3 inches thick. 
If the wall cuts through a creature's space when it appears, the creature is pushed to one side of the wall (you choose which side).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 on a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battlements and the like. 
The wall is an object made of stone that can be damaged and thus breached. Each panel has AC 15 and 30 Hit Points per inch of thickness, and it has Immunity to Poison and Psychic damage. Reducing a panel to 0 Hit Points destroys it and might cause connected panels to collapse at the DM's discretion. 
If you maintain your #Concentration on this spell for its full duration, the wall becomes permanent and can't be dispelled. Otherwise, the wall disappears when the spell ends._x000D_
#Druid #Sorcerer #Wizard</v>
      </c>
      <c r="C373" t="str">
        <f t="shared" si="21"/>
        <v>level 5</v>
      </c>
      <c r="D373" s="1" t="s">
        <v>706</v>
      </c>
      <c r="E373" t="str">
        <f t="shared" si="22"/>
        <v>level 5</v>
      </c>
      <c r="F373" t="str">
        <f t="shared" si="23"/>
        <v>NULL</v>
      </c>
      <c r="G373" t="str">
        <f>_xlfn.TEXTJOIN(" ",TRUE,IF(IFERROR(MATCH(SUBSTITUTE(A373,".md",""),'Bard Spells'!A:A,0),0)&gt;0,"#Bard",""),IF(IFERROR(MATCH(SUBSTITUTE(A373,".md",""),'Cleric Spells'!A:A,0),0)&gt;0,"#Cleric",""),IF(IFERROR(MATCH(SUBSTITUTE(A373,".md",""),'Druid Spells'!A:A,0),0)&gt;0,"#Druid",""),IF(IFERROR(MATCH(SUBSTITUTE(A373,".md",""),'Paladin Spells'!A:A,0),0)&gt;0,"#Paladin",""),IF(IFERROR(MATCH(SUBSTITUTE(A373,".md",""),'Ranger Spells'!A:A,0),0)&gt;0,"#Ranger",""),IF(IFERROR(MATCH(SUBSTITUTE(A373,".md",""),'Sorcerer Spells'!A:A,0),0)&gt;0,"#Sorcerer",""),IF(IFERROR(MATCH(SUBSTITUTE(A373,".md",""),'Warlock Spells'!A:A,0),0)&gt;0,"#Warlock",""),IF(IFERROR(MATCH(SUBSTITUTE(A373,".md",""),'Wizard Spells'!A:A,0),0)&gt;0,"#Wizard",""))</f>
        <v>#Druid #Sorcerer #Wizard</v>
      </c>
    </row>
    <row r="374" spans="1:7" ht="180" x14ac:dyDescent="0.25">
      <c r="A374" t="s">
        <v>585</v>
      </c>
      <c r="B374" s="1" t="str">
        <f t="shared" si="20"/>
        <v>level 6 - #conjuration Casting Time: Action Range: 120 feet Components: V, S, M (a handful of thorns) Duration: #Concentration, up to 10 minutes 
You create a wall of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in its area makes a Dexterity saving throw, taking 7d8 Piercing damage on a failed save or half as much damage on a successful one. 
A creature can move through the wall, albeit slowly and painfully. For every 1 foot a creature moves through the wall, it must spend 4 feet of movement. Furthermore, the first time a creature enters a space in the wall on a turn or ends its turn there, the creature makes a Dexterity saving throw, taking 7d8 Slashing damage on a failed save or half as much damage on a successful one. A creature makes this save only once per turn. 
Using a Higher-Level Spell Slot. Both types of damage increase by 1d8 for each spell slot level above 6_x000D_
#Druid</v>
      </c>
      <c r="C374" t="str">
        <f t="shared" si="21"/>
        <v>level 6</v>
      </c>
      <c r="D374" s="1" t="s">
        <v>586</v>
      </c>
      <c r="E374" t="str">
        <f t="shared" si="22"/>
        <v>level 6</v>
      </c>
      <c r="F374" t="str">
        <f t="shared" si="23"/>
        <v>NULL</v>
      </c>
      <c r="G374" t="str">
        <f>_xlfn.TEXTJOIN(" ",TRUE,IF(IFERROR(MATCH(SUBSTITUTE(A374,".md",""),'Bard Spells'!A:A,0),0)&gt;0,"#Bard",""),IF(IFERROR(MATCH(SUBSTITUTE(A374,".md",""),'Cleric Spells'!A:A,0),0)&gt;0,"#Cleric",""),IF(IFERROR(MATCH(SUBSTITUTE(A374,".md",""),'Druid Spells'!A:A,0),0)&gt;0,"#Druid",""),IF(IFERROR(MATCH(SUBSTITUTE(A374,".md",""),'Paladin Spells'!A:A,0),0)&gt;0,"#Paladin",""),IF(IFERROR(MATCH(SUBSTITUTE(A374,".md",""),'Ranger Spells'!A:A,0),0)&gt;0,"#Ranger",""),IF(IFERROR(MATCH(SUBSTITUTE(A374,".md",""),'Sorcerer Spells'!A:A,0),0)&gt;0,"#Sorcerer",""),IF(IFERROR(MATCH(SUBSTITUTE(A374,".md",""),'Warlock Spells'!A:A,0),0)&gt;0,"#Warlock",""),IF(IFERROR(MATCH(SUBSTITUTE(A374,".md",""),'Wizard Spells'!A:A,0),0)&gt;0,"#Wizard",""))</f>
        <v>#Druid</v>
      </c>
    </row>
    <row r="375" spans="1:7" ht="120" x14ac:dyDescent="0.25">
      <c r="A375" t="s">
        <v>587</v>
      </c>
      <c r="B375" s="1" t="str">
        <f t="shared" si="20"/>
        <v>level 2 - #abjuration Casting Time: Action Range: Touch Components: V, S, M (a pair of platinum rings worth 50+ GP each, which you and the target must wear for the duration) Duration: 1 hour 
You touch another creature that is willing and create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creatures_x000D_
#Cleric #Paladin</v>
      </c>
      <c r="C375" t="str">
        <f t="shared" si="21"/>
        <v>level 2</v>
      </c>
      <c r="D375" s="1" t="s">
        <v>588</v>
      </c>
      <c r="E375" t="str">
        <f t="shared" si="22"/>
        <v>level 2</v>
      </c>
      <c r="F375" t="str">
        <f t="shared" si="23"/>
        <v>NULL</v>
      </c>
      <c r="G375" t="str">
        <f>_xlfn.TEXTJOIN(" ",TRUE,IF(IFERROR(MATCH(SUBSTITUTE(A375,".md",""),'Bard Spells'!A:A,0),0)&gt;0,"#Bard",""),IF(IFERROR(MATCH(SUBSTITUTE(A375,".md",""),'Cleric Spells'!A:A,0),0)&gt;0,"#Cleric",""),IF(IFERROR(MATCH(SUBSTITUTE(A375,".md",""),'Druid Spells'!A:A,0),0)&gt;0,"#Druid",""),IF(IFERROR(MATCH(SUBSTITUTE(A375,".md",""),'Paladin Spells'!A:A,0),0)&gt;0,"#Paladin",""),IF(IFERROR(MATCH(SUBSTITUTE(A375,".md",""),'Ranger Spells'!A:A,0),0)&gt;0,"#Ranger",""),IF(IFERROR(MATCH(SUBSTITUTE(A375,".md",""),'Sorcerer Spells'!A:A,0),0)&gt;0,"#Sorcerer",""),IF(IFERROR(MATCH(SUBSTITUTE(A375,".md",""),'Warlock Spells'!A:A,0),0)&gt;0,"#Warlock",""),IF(IFERROR(MATCH(SUBSTITUTE(A375,".md",""),'Wizard Spells'!A:A,0),0)&gt;0,"#Wizard",""))</f>
        <v>#Cleric #Paladin</v>
      </c>
    </row>
    <row r="376" spans="1:7" ht="90" x14ac:dyDescent="0.25">
      <c r="A376" t="s">
        <v>589</v>
      </c>
      <c r="B376" s="1" t="str">
        <f t="shared" si="20"/>
        <v>level 3 - #transmutation ( #ritual ) Casting Time: Action or Ritual Range: 30 feet Components: V, S, M (a short reed) Duration: 24 hours 
This spell grants up to ten willing creatures of your choice within range the ability to breathe underwater until the spell ends. Affected creatures also retain their normal mode of respiration_x000D_
#Druid #Ranger #Sorcerer #Wizard</v>
      </c>
      <c r="C376" t="str">
        <f t="shared" si="21"/>
        <v>level 3</v>
      </c>
      <c r="D376" s="1" t="s">
        <v>590</v>
      </c>
      <c r="E376" t="str">
        <f t="shared" si="22"/>
        <v>level 3</v>
      </c>
      <c r="F376" t="str">
        <f t="shared" si="23"/>
        <v>NULL</v>
      </c>
      <c r="G376" t="str">
        <f>_xlfn.TEXTJOIN(" ",TRUE,IF(IFERROR(MATCH(SUBSTITUTE(A376,".md",""),'Bard Spells'!A:A,0),0)&gt;0,"#Bard",""),IF(IFERROR(MATCH(SUBSTITUTE(A376,".md",""),'Cleric Spells'!A:A,0),0)&gt;0,"#Cleric",""),IF(IFERROR(MATCH(SUBSTITUTE(A376,".md",""),'Druid Spells'!A:A,0),0)&gt;0,"#Druid",""),IF(IFERROR(MATCH(SUBSTITUTE(A376,".md",""),'Paladin Spells'!A:A,0),0)&gt;0,"#Paladin",""),IF(IFERROR(MATCH(SUBSTITUTE(A376,".md",""),'Ranger Spells'!A:A,0),0)&gt;0,"#Ranger",""),IF(IFERROR(MATCH(SUBSTITUTE(A376,".md",""),'Sorcerer Spells'!A:A,0),0)&gt;0,"#Sorcerer",""),IF(IFERROR(MATCH(SUBSTITUTE(A376,".md",""),'Warlock Spells'!A:A,0),0)&gt;0,"#Warlock",""),IF(IFERROR(MATCH(SUBSTITUTE(A376,".md",""),'Wizard Spells'!A:A,0),0)&gt;0,"#Wizard",""))</f>
        <v>#Druid #Ranger #Sorcerer #Wizard</v>
      </c>
    </row>
    <row r="377" spans="1:7" ht="120" x14ac:dyDescent="0.25">
      <c r="A377" t="s">
        <v>591</v>
      </c>
      <c r="B377" s="1" t="str">
        <f t="shared" si="20"/>
        <v>level 3 - #transmutation ( #ritual ) Casting Time: Action or Ritual Range: 30 feet Components: V, S, M (a piece of cork) Duration: 1 hour 
This spell grants the ability to move across any liquid surfaceâ€”such as water, acid, mud, snow, quicksand, or lavaâ€”as if it were harmless solid ground (creatures crossing molten lava can still take damage from the heat). Up to ten willing creatures of your choice within range gain this ability for the duration. 
An affected target must take a Bonus Action to pass from the liquid's surface into the liquid itself and vice versa, but if the target falls into the liquid, the target passes through the surface into the liquid below_x000D_
#Cleric #Druid #Ranger #Sorcerer</v>
      </c>
      <c r="C377" t="str">
        <f t="shared" si="21"/>
        <v>level 3</v>
      </c>
      <c r="D377" s="1" t="s">
        <v>592</v>
      </c>
      <c r="E377" t="str">
        <f t="shared" si="22"/>
        <v>level 3</v>
      </c>
      <c r="F377" t="str">
        <f t="shared" si="23"/>
        <v>NULL</v>
      </c>
      <c r="G377" t="str">
        <f>_xlfn.TEXTJOIN(" ",TRUE,IF(IFERROR(MATCH(SUBSTITUTE(A377,".md",""),'Bard Spells'!A:A,0),0)&gt;0,"#Bard",""),IF(IFERROR(MATCH(SUBSTITUTE(A377,".md",""),'Cleric Spells'!A:A,0),0)&gt;0,"#Cleric",""),IF(IFERROR(MATCH(SUBSTITUTE(A377,".md",""),'Druid Spells'!A:A,0),0)&gt;0,"#Druid",""),IF(IFERROR(MATCH(SUBSTITUTE(A377,".md",""),'Paladin Spells'!A:A,0),0)&gt;0,"#Paladin",""),IF(IFERROR(MATCH(SUBSTITUTE(A377,".md",""),'Ranger Spells'!A:A,0),0)&gt;0,"#Ranger",""),IF(IFERROR(MATCH(SUBSTITUTE(A377,".md",""),'Sorcerer Spells'!A:A,0),0)&gt;0,"#Sorcerer",""),IF(IFERROR(MATCH(SUBSTITUTE(A377,".md",""),'Warlock Spells'!A:A,0),0)&gt;0,"#Warlock",""),IF(IFERROR(MATCH(SUBSTITUTE(A377,".md",""),'Wizard Spells'!A:A,0),0)&gt;0,"#Wizard",""))</f>
        <v>#Cleric #Druid #Ranger #Sorcerer</v>
      </c>
    </row>
    <row r="378" spans="1:7" ht="165" x14ac:dyDescent="0.25">
      <c r="A378" t="s">
        <v>593</v>
      </c>
      <c r="B378" s="1" t="str">
        <f t="shared" si="20"/>
        <v>level 2 - #conjuration Casting Time: Action Range: 60 feet Components: V, S, M (a bit of spiderweb) Duration: #Concentration, up to 1 hour 
You conjure a mass of sticky webbing at a point within range. The webs fill a 20-foot Cube there for the duration. The webs are Difficult Terrain, and the area within them is Lightly Obscured. If the webs aren't anchored between two solid masses (such as walls or trees) or layered across a floor, wall, or ceiling, the web collapses on itself, and the spell ends at the start of your next turn. Webs layered over a flat surface have a depth of 5 feet. 
The first time a creature enters the webs on a turn or starts its turn there, it must succeed on a Dexterity saving throw or have the Restrained condition while in the webs or until it breaks free. A creature Restrained by the webs can take an action to make a Strength (Athletics) check against your spell save DC. If it succeeds, it is no longer Restrained. 
The webs are flammable. Any 5-foot Cube of webs exposed to fire burns away in 1 round, dealing 2d4 Fire damage to any creature that starts its turn in the fire._x000D_
#Sorcerer #Wizard</v>
      </c>
      <c r="C378" t="str">
        <f t="shared" si="21"/>
        <v>level 2</v>
      </c>
      <c r="D378" s="1" t="s">
        <v>594</v>
      </c>
      <c r="E378" t="str">
        <f t="shared" si="22"/>
        <v>level 2</v>
      </c>
      <c r="F378" t="str">
        <f t="shared" si="23"/>
        <v>NULL</v>
      </c>
      <c r="G378" t="str">
        <f>_xlfn.TEXTJOIN(" ",TRUE,IF(IFERROR(MATCH(SUBSTITUTE(A378,".md",""),'Bard Spells'!A:A,0),0)&gt;0,"#Bard",""),IF(IFERROR(MATCH(SUBSTITUTE(A378,".md",""),'Cleric Spells'!A:A,0),0)&gt;0,"#Cleric",""),IF(IFERROR(MATCH(SUBSTITUTE(A378,".md",""),'Druid Spells'!A:A,0),0)&gt;0,"#Druid",""),IF(IFERROR(MATCH(SUBSTITUTE(A378,".md",""),'Paladin Spells'!A:A,0),0)&gt;0,"#Paladin",""),IF(IFERROR(MATCH(SUBSTITUTE(A378,".md",""),'Ranger Spells'!A:A,0),0)&gt;0,"#Ranger",""),IF(IFERROR(MATCH(SUBSTITUTE(A378,".md",""),'Sorcerer Spells'!A:A,0),0)&gt;0,"#Sorcerer",""),IF(IFERROR(MATCH(SUBSTITUTE(A378,".md",""),'Warlock Spells'!A:A,0),0)&gt;0,"#Warlock",""),IF(IFERROR(MATCH(SUBSTITUTE(A378,".md",""),'Wizard Spells'!A:A,0),0)&gt;0,"#Wizard",""))</f>
        <v>#Sorcerer #Wizard</v>
      </c>
    </row>
    <row r="379" spans="1:7" ht="120" x14ac:dyDescent="0.25">
      <c r="A379" t="s">
        <v>595</v>
      </c>
      <c r="B379" s="1" t="str">
        <f t="shared" si="20"/>
        <v>level 9 - #illusion Casting Time: Action Range: 120 feet Components: V, S Duration: #Concentration, up to 1 minute 
You try to create illusory terrors in others' minds. Each creature of your choice in a 30-foot-radius Sphere centered on a point within range makes a Wisdom saving throw. On a failed save, a target takes 10d10 Psychic damage and has the Frightened condition for the duration. On a successful save, a target takes half as much damage only. 
A Frightened target makes a Wisdom saving throw at the end of each of its turns. On a failed save, it takes 5d10 Psychic damage. On a successful save, the spell ends on that target_x000D_
#Warlock #Wizard</v>
      </c>
      <c r="C379" t="str">
        <f t="shared" si="21"/>
        <v>level 9</v>
      </c>
      <c r="D379" s="1" t="s">
        <v>596</v>
      </c>
      <c r="E379" t="str">
        <f t="shared" si="22"/>
        <v>level 9</v>
      </c>
      <c r="F379" t="str">
        <f t="shared" si="23"/>
        <v>NULL</v>
      </c>
      <c r="G379" t="str">
        <f>_xlfn.TEXTJOIN(" ",TRUE,IF(IFERROR(MATCH(SUBSTITUTE(A379,".md",""),'Bard Spells'!A:A,0),0)&gt;0,"#Bard",""),IF(IFERROR(MATCH(SUBSTITUTE(A379,".md",""),'Cleric Spells'!A:A,0),0)&gt;0,"#Cleric",""),IF(IFERROR(MATCH(SUBSTITUTE(A379,".md",""),'Druid Spells'!A:A,0),0)&gt;0,"#Druid",""),IF(IFERROR(MATCH(SUBSTITUTE(A379,".md",""),'Paladin Spells'!A:A,0),0)&gt;0,"#Paladin",""),IF(IFERROR(MATCH(SUBSTITUTE(A379,".md",""),'Ranger Spells'!A:A,0),0)&gt;0,"#Ranger",""),IF(IFERROR(MATCH(SUBSTITUTE(A379,".md",""),'Sorcerer Spells'!A:A,0),0)&gt;0,"#Sorcerer",""),IF(IFERROR(MATCH(SUBSTITUTE(A379,".md",""),'Warlock Spells'!A:A,0),0)&gt;0,"#Warlock",""),IF(IFERROR(MATCH(SUBSTITUTE(A379,".md",""),'Wizard Spells'!A:A,0),0)&gt;0,"#Wizard",""))</f>
        <v>#Warlock #Wizard</v>
      </c>
    </row>
    <row r="380" spans="1:7" ht="150" x14ac:dyDescent="0.25">
      <c r="A380" t="s">
        <v>597</v>
      </c>
      <c r="B380" s="1" t="str">
        <f t="shared" si="20"/>
        <v>level 6 - #transmutation Casting Time: 1 minute Range: 30 feet Components: V, S, M (a candle) Duration: 8 hours 
You and up to ten willing creatures of your choice within range assume gaseous forms for the duration, appearing as wisps of cloud. While in this cloud form, a target has a Fly Speed of 300 feet and can hover; it has Immunity to the Prone condition; and it has Resistance to Bludgeoning, Piercing, and Slashing damage. The only actions a target can take in this form are the Dash action or a Magic action to begin reverting to its normal form. Reverting takes 1 minute, during which the target has the Stunned condition. Until the spell ends, the target can revert to cloud form, which also requires a Magic action followed by a 1-minute transformation. 
If a target is in cloud form and flying when the effect ends, the target descends 60 feet per round for 1 minute until it lands, which it does safely. If it can't land after 1 minute, it falls the remaining distance_x000D_
#Druid</v>
      </c>
      <c r="C380" t="str">
        <f t="shared" si="21"/>
        <v>level 6</v>
      </c>
      <c r="D380" s="1" t="s">
        <v>598</v>
      </c>
      <c r="E380" t="str">
        <f t="shared" si="22"/>
        <v>level 6</v>
      </c>
      <c r="F380" t="str">
        <f t="shared" si="23"/>
        <v>NULL</v>
      </c>
      <c r="G380" t="str">
        <f>_xlfn.TEXTJOIN(" ",TRUE,IF(IFERROR(MATCH(SUBSTITUTE(A380,".md",""),'Bard Spells'!A:A,0),0)&gt;0,"#Bard",""),IF(IFERROR(MATCH(SUBSTITUTE(A380,".md",""),'Cleric Spells'!A:A,0),0)&gt;0,"#Cleric",""),IF(IFERROR(MATCH(SUBSTITUTE(A380,".md",""),'Druid Spells'!A:A,0),0)&gt;0,"#Druid",""),IF(IFERROR(MATCH(SUBSTITUTE(A380,".md",""),'Paladin Spells'!A:A,0),0)&gt;0,"#Paladin",""),IF(IFERROR(MATCH(SUBSTITUTE(A380,".md",""),'Ranger Spells'!A:A,0),0)&gt;0,"#Ranger",""),IF(IFERROR(MATCH(SUBSTITUTE(A380,".md",""),'Sorcerer Spells'!A:A,0),0)&gt;0,"#Sorcerer",""),IF(IFERROR(MATCH(SUBSTITUTE(A380,".md",""),'Warlock Spells'!A:A,0),0)&gt;0,"#Warlock",""),IF(IFERROR(MATCH(SUBSTITUTE(A380,".md",""),'Wizard Spells'!A:A,0),0)&gt;0,"#Wizard",""))</f>
        <v>#Druid</v>
      </c>
    </row>
    <row r="381" spans="1:7" ht="165" x14ac:dyDescent="0.25">
      <c r="A381" t="s">
        <v>599</v>
      </c>
      <c r="B381" s="1" t="str">
        <f t="shared" si="20"/>
        <v>level 3 - #evocation Casting Time: Action Range: 120 feet Components: V, S, M (a fan and a feather) Duration: #Concentration, up to 1 minute 
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in its area makes a Strength saving throw, taking 4d8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miss automatically. Boulders hurled by Giants or siege engines, and similar projectiles, are unaffected. Creatures in gaseous form can't pass through it_x000D_
#Druid #Ranger</v>
      </c>
      <c r="C381" t="str">
        <f t="shared" si="21"/>
        <v>level 3</v>
      </c>
      <c r="D381" s="1" t="s">
        <v>600</v>
      </c>
      <c r="E381" t="str">
        <f t="shared" si="22"/>
        <v>level 3</v>
      </c>
      <c r="F381" t="str">
        <f t="shared" si="23"/>
        <v>NULL</v>
      </c>
      <c r="G381" t="str">
        <f>_xlfn.TEXTJOIN(" ",TRUE,IF(IFERROR(MATCH(SUBSTITUTE(A381,".md",""),'Bard Spells'!A:A,0),0)&gt;0,"#Bard",""),IF(IFERROR(MATCH(SUBSTITUTE(A381,".md",""),'Cleric Spells'!A:A,0),0)&gt;0,"#Cleric",""),IF(IFERROR(MATCH(SUBSTITUTE(A381,".md",""),'Druid Spells'!A:A,0),0)&gt;0,"#Druid",""),IF(IFERROR(MATCH(SUBSTITUTE(A381,".md",""),'Paladin Spells'!A:A,0),0)&gt;0,"#Paladin",""),IF(IFERROR(MATCH(SUBSTITUTE(A381,".md",""),'Ranger Spells'!A:A,0),0)&gt;0,"#Ranger",""),IF(IFERROR(MATCH(SUBSTITUTE(A381,".md",""),'Sorcerer Spells'!A:A,0),0)&gt;0,"#Sorcerer",""),IF(IFERROR(MATCH(SUBSTITUTE(A381,".md",""),'Warlock Spells'!A:A,0),0)&gt;0,"#Warlock",""),IF(IFERROR(MATCH(SUBSTITUTE(A381,".md",""),'Wizard Spells'!A:A,0),0)&gt;0,"#Wizard",""))</f>
        <v>#Druid #Ranger</v>
      </c>
    </row>
    <row r="382" spans="1:7" ht="390" x14ac:dyDescent="0.25">
      <c r="A382" t="s">
        <v>601</v>
      </c>
      <c r="B382" s="1" t="str">
        <f t="shared" si="20"/>
        <v>level 9 - #conjuration Casting Time: Action Range: Self Components: V Duration: Instantaneous 
Wish is the mightiest spell a mortal can cast. By simply speaking aloud, you can alter reality itself. The basic use of this spell is to duplicate any other spell of level 8 or lower. If you use it this way, you don't need to meet any requirements to cast that spell, including costly components. The spell simply takes effect. Alternatively, you can create one of the following effects of your choice: 
**Object Creation**. You create one object of up to 25,000 GP in value that isn't a magic item. The object can be no more than 300 feet in any dimension, and it appears in an unoccupied space that you can see on the ground. 
**Instant Health**. You allow yourself and up to twenty creatures that you can see to regain all Hit Points, and you end all effects on them listed in the Greater Restoration spell. 
**Resistance**. You grant up to ten creatures that you can see Resistance to one damage type that you choose. This Resistance is permanent. 
**Spell Immunity**. You grant up to ten creatures you can see immunity to a single spell or other magical effect for 8 hours. 
**Sudden Learning**. You replace one of your feats with another feat for which you are eligible. You lose all the benefits of the old feat and gain the benefits of the new one. You can't replace a feat that is a prerequisite for any of your other feats or features. 
**Roll Redo**. You undo a single recent event by forcing a reroll of any die roll made within the last round (including your last turn). Reality reshapes itself to accommodate the new result. For example, a Wish spell could undo an ally's failed saving throw or a foe's Critical Hit. You can force the reroll to be made with Advantage or Disadvantage, and you choose whether to use the reroll or the original roll. 
**Reshape Reality**. You may wish for something not included in any of the other effects. To do so, state your wish to the DM as precisely as possible. The DM has great latitude in ruling what occurs in such an instance; the greater the wish, the greater the likelihood that something goes wrong. This spell might simply fail, the effect you desire might be achieved only in part, or you might suffer an unforeseen consequence as a result of how you worded the wish. For example, wishing that a villain were dead might propel you forward in time to a period when that villain is no longer alive, effectively removing you from the game. Similarly, wishing for a Legendary magic item or an Artifact might instantly transport you to the presence of the item's current owner. If your wish is granted and its effects have consequences for a whole community, region, or world, you are likely to attract powerful foes. If your wish would affect a god, the god's divine servants might instantly intervene to prevent it or to encourage you to craft the wish in a particular way. If your wish would undo the multiverse itself, threaten the City of Sigil, or affect the Lady of Pain in any way, you see an image of her in your mind for a moment; she shakes her head, and your wish fails. The stress of casting Wish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score becomes 3 for 2d4 days. For each of those days that you spend resting and doing nothing more than light activity, your remaining recovery time decreases by 2 days. Finally, there is a 33 percent chance that you are unable to cast Wish ever again if you suffer this stress_x000D_
#Sorcerer #Wizard</v>
      </c>
      <c r="C382" t="str">
        <f t="shared" si="21"/>
        <v>level 9</v>
      </c>
      <c r="D382" s="1" t="s">
        <v>602</v>
      </c>
      <c r="E382" t="str">
        <f t="shared" si="22"/>
        <v>level 9</v>
      </c>
      <c r="F382" t="str">
        <f t="shared" si="23"/>
        <v>NULL</v>
      </c>
      <c r="G382" t="str">
        <f>_xlfn.TEXTJOIN(" ",TRUE,IF(IFERROR(MATCH(SUBSTITUTE(A382,".md",""),'Bard Spells'!A:A,0),0)&gt;0,"#Bard",""),IF(IFERROR(MATCH(SUBSTITUTE(A382,".md",""),'Cleric Spells'!A:A,0),0)&gt;0,"#Cleric",""),IF(IFERROR(MATCH(SUBSTITUTE(A382,".md",""),'Druid Spells'!A:A,0),0)&gt;0,"#Druid",""),IF(IFERROR(MATCH(SUBSTITUTE(A382,".md",""),'Paladin Spells'!A:A,0),0)&gt;0,"#Paladin",""),IF(IFERROR(MATCH(SUBSTITUTE(A382,".md",""),'Ranger Spells'!A:A,0),0)&gt;0,"#Ranger",""),IF(IFERROR(MATCH(SUBSTITUTE(A382,".md",""),'Sorcerer Spells'!A:A,0),0)&gt;0,"#Sorcerer",""),IF(IFERROR(MATCH(SUBSTITUTE(A382,".md",""),'Warlock Spells'!A:A,0),0)&gt;0,"#Warlock",""),IF(IFERROR(MATCH(SUBSTITUTE(A382,".md",""),'Wizard Spells'!A:A,0),0)&gt;0,"#Wizard",""))</f>
        <v>#Sorcerer #Wizard</v>
      </c>
    </row>
    <row r="383" spans="1:7" ht="165" x14ac:dyDescent="0.25">
      <c r="A383" t="s">
        <v>603</v>
      </c>
      <c r="B383" s="1" t="str">
        <f t="shared" si="20"/>
        <v>level 1 - #evocation Casting Time: Action Range: 60 feet Components: V, S, M (a twig struck by lightning) Duration: #Concentration, up to 1 minute 
A beam of crackling energy lances toward a creature within range, forming a sustained arc of lightning between you and the target. Make a ranged spell attack against it. On a hit, the target takes 2d12 Lightning damage. 
On each of your subsequent turns, you can take a Bonus Action to deal 1d12 Lightning damage to the target automatically, even if the first attack missed. The spell ends if the target is ever outside the spell's range or if it has Total Cover from you. 
Using a Higher-Level Spell Slot. The initial damage increases by 1d12 for each spell slot level above 1_x000D_
#Sorcerer #Warlock #Wizard</v>
      </c>
      <c r="C383" t="str">
        <f t="shared" si="21"/>
        <v>level 1</v>
      </c>
      <c r="D383" s="1" t="s">
        <v>604</v>
      </c>
      <c r="E383" t="str">
        <f t="shared" si="22"/>
        <v>level 1</v>
      </c>
      <c r="F383" t="str">
        <f t="shared" si="23"/>
        <v>NULL</v>
      </c>
      <c r="G383" t="str">
        <f>_xlfn.TEXTJOIN(" ",TRUE,IF(IFERROR(MATCH(SUBSTITUTE(A383,".md",""),'Bard Spells'!A:A,0),0)&gt;0,"#Bard",""),IF(IFERROR(MATCH(SUBSTITUTE(A383,".md",""),'Cleric Spells'!A:A,0),0)&gt;0,"#Cleric",""),IF(IFERROR(MATCH(SUBSTITUTE(A383,".md",""),'Druid Spells'!A:A,0),0)&gt;0,"#Druid",""),IF(IFERROR(MATCH(SUBSTITUTE(A383,".md",""),'Paladin Spells'!A:A,0),0)&gt;0,"#Paladin",""),IF(IFERROR(MATCH(SUBSTITUTE(A383,".md",""),'Ranger Spells'!A:A,0),0)&gt;0,"#Ranger",""),IF(IFERROR(MATCH(SUBSTITUTE(A383,".md",""),'Sorcerer Spells'!A:A,0),0)&gt;0,"#Sorcerer",""),IF(IFERROR(MATCH(SUBSTITUTE(A383,".md",""),'Warlock Spells'!A:A,0),0)&gt;0,"#Warlock",""),IF(IFERROR(MATCH(SUBSTITUTE(A383,".md",""),'Wizard Spells'!A:A,0),0)&gt;0,"#Wizard",""))</f>
        <v>#Sorcerer #Warlock #Wizard</v>
      </c>
    </row>
    <row r="384" spans="1:7" ht="120" x14ac:dyDescent="0.25">
      <c r="A384" t="s">
        <v>605</v>
      </c>
      <c r="B384" s="1" t="str">
        <f t="shared" si="20"/>
        <v>level 0 - #evocation Casting Time: Action Range: Self Components: V, M (a sunburst token) Duration: Instantaneous 
Burning radiance erupts from you in a 5-foot Emanation. Each creature of your choice that you can see in it must succeed on a Constitution saving throw or take 1d6 Radiant damage. 
Cantrip Upgrade. The damage increases by 1d6 when you reach levels 5 (2d6), 11 (3d6), and 17 (4d6)._x000D_
#Cleric</v>
      </c>
      <c r="C384" t="str">
        <f t="shared" si="21"/>
        <v>level 0</v>
      </c>
      <c r="D384" s="1" t="s">
        <v>606</v>
      </c>
      <c r="E384" t="str">
        <f t="shared" si="22"/>
        <v>level 0</v>
      </c>
      <c r="F384" t="str">
        <f t="shared" si="23"/>
        <v>NULL</v>
      </c>
      <c r="G384" t="str">
        <f>_xlfn.TEXTJOIN(" ",TRUE,IF(IFERROR(MATCH(SUBSTITUTE(A384,".md",""),'Bard Spells'!A:A,0),0)&gt;0,"#Bard",""),IF(IFERROR(MATCH(SUBSTITUTE(A384,".md",""),'Cleric Spells'!A:A,0),0)&gt;0,"#Cleric",""),IF(IFERROR(MATCH(SUBSTITUTE(A384,".md",""),'Druid Spells'!A:A,0),0)&gt;0,"#Druid",""),IF(IFERROR(MATCH(SUBSTITUTE(A384,".md",""),'Paladin Spells'!A:A,0),0)&gt;0,"#Paladin",""),IF(IFERROR(MATCH(SUBSTITUTE(A384,".md",""),'Ranger Spells'!A:A,0),0)&gt;0,"#Ranger",""),IF(IFERROR(MATCH(SUBSTITUTE(A384,".md",""),'Sorcerer Spells'!A:A,0),0)&gt;0,"#Sorcerer",""),IF(IFERROR(MATCH(SUBSTITUTE(A384,".md",""),'Warlock Spells'!A:A,0),0)&gt;0,"#Warlock",""),IF(IFERROR(MATCH(SUBSTITUTE(A384,".md",""),'Wizard Spells'!A:A,0),0)&gt;0,"#Wizard",""))</f>
        <v>#Cleric</v>
      </c>
    </row>
    <row r="385" spans="1:7" ht="120" x14ac:dyDescent="0.25">
      <c r="A385" t="s">
        <v>607</v>
      </c>
      <c r="B385" s="1" t="str">
        <f t="shared" si="20"/>
        <v>level 6 - #conjuration Casting Time: Action Range: 5 feet Components: V Duration: Instantaneous 
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location, such as a temple, as a sanctuary by casting this spell there_x000D_
#Cleric</v>
      </c>
      <c r="C385" t="str">
        <f t="shared" si="21"/>
        <v>level 6</v>
      </c>
      <c r="D385" s="1" t="s">
        <v>608</v>
      </c>
      <c r="E385" t="str">
        <f t="shared" si="22"/>
        <v>level 6</v>
      </c>
      <c r="F385" t="str">
        <f t="shared" si="23"/>
        <v>NULL</v>
      </c>
      <c r="G385" t="str">
        <f>_xlfn.TEXTJOIN(" ",TRUE,IF(IFERROR(MATCH(SUBSTITUTE(A385,".md",""),'Bard Spells'!A:A,0),0)&gt;0,"#Bard",""),IF(IFERROR(MATCH(SUBSTITUTE(A385,".md",""),'Cleric Spells'!A:A,0),0)&gt;0,"#Cleric",""),IF(IFERROR(MATCH(SUBSTITUTE(A385,".md",""),'Druid Spells'!A:A,0),0)&gt;0,"#Druid",""),IF(IFERROR(MATCH(SUBSTITUTE(A385,".md",""),'Paladin Spells'!A:A,0),0)&gt;0,"#Paladin",""),IF(IFERROR(MATCH(SUBSTITUTE(A385,".md",""),'Ranger Spells'!A:A,0),0)&gt;0,"#Ranger",""),IF(IFERROR(MATCH(SUBSTITUTE(A385,".md",""),'Sorcerer Spells'!A:A,0),0)&gt;0,"#Sorcerer",""),IF(IFERROR(MATCH(SUBSTITUTE(A385,".md",""),'Warlock Spells'!A:A,0),0)&gt;0,"#Warlock",""),IF(IFERROR(MATCH(SUBSTITUTE(A385,".md",""),'Wizard Spells'!A:A,0),0)&gt;0,"#Wizard",""))</f>
        <v>#Cleric</v>
      </c>
    </row>
    <row r="386" spans="1:7" ht="135" x14ac:dyDescent="0.25">
      <c r="A386" t="s">
        <v>609</v>
      </c>
      <c r="B386" s="1" t="str">
        <f t="shared" ref="B386:B388" si="24">D386&amp;CHAR(10)&amp;CHAR(10)&amp;G386</f>
        <v>level 1 - #necromancy Casting Time: #BonusAction, which you take immediately after hitting a creature with a Melee weapon or an Unarmed Strike Range: Self Components: V Duration: 1 minute 
The target takes an extra 1d6 Necrotic damage from the attack, and it must succeed on a Wisdom saving throw or have the Frightened condition until the spell ends. At the end of each of its turns, the Frightened target repeats the save, ending the spell on itself on a success. 
Using a Higher-Level Spell Slot. The damage increases by 1d6 for each spell slot level above 1_x000D_
#Paladin</v>
      </c>
      <c r="C386" t="str">
        <f t="shared" ref="C386:C388" si="25">E386</f>
        <v>level 1</v>
      </c>
      <c r="D386" s="1" t="s">
        <v>610</v>
      </c>
      <c r="E386" t="str">
        <f t="shared" ref="E386:E388" si="26">LEFT(D386,7)</f>
        <v>level 1</v>
      </c>
      <c r="F386" t="str">
        <f t="shared" ref="F386:F388" si="27">IF(AND(ISNUMBER(SEARCH("- ", D386)), NOT(ISNUMBER(SEARCH("- #", D386)))), "Match", "NULL")</f>
        <v>NULL</v>
      </c>
      <c r="G386" t="str">
        <f>_xlfn.TEXTJOIN(" ",TRUE,IF(IFERROR(MATCH(SUBSTITUTE(A386,".md",""),'Bard Spells'!A:A,0),0)&gt;0,"#Bard",""),IF(IFERROR(MATCH(SUBSTITUTE(A386,".md",""),'Cleric Spells'!A:A,0),0)&gt;0,"#Cleric",""),IF(IFERROR(MATCH(SUBSTITUTE(A386,".md",""),'Druid Spells'!A:A,0),0)&gt;0,"#Druid",""),IF(IFERROR(MATCH(SUBSTITUTE(A386,".md",""),'Paladin Spells'!A:A,0),0)&gt;0,"#Paladin",""),IF(IFERROR(MATCH(SUBSTITUTE(A386,".md",""),'Ranger Spells'!A:A,0),0)&gt;0,"#Ranger",""),IF(IFERROR(MATCH(SUBSTITUTE(A386,".md",""),'Sorcerer Spells'!A:A,0),0)&gt;0,"#Sorcerer",""),IF(IFERROR(MATCH(SUBSTITUTE(A386,".md",""),'Warlock Spells'!A:A,0),0)&gt;0,"#Warlock",""),IF(IFERROR(MATCH(SUBSTITUTE(A386,".md",""),'Wizard Spells'!A:A,0),0)&gt;0,"#Wizard",""))</f>
        <v>#Paladin</v>
      </c>
    </row>
    <row r="387" spans="1:7" ht="90" x14ac:dyDescent="0.25">
      <c r="A387" t="s">
        <v>611</v>
      </c>
      <c r="B387" s="1" t="str">
        <f t="shared" si="24"/>
        <v>level 5 - #enchantment Casting Time: Action Range: Self Components: V, S, M (a miniature tiara) Duration: #Concentration, up to 1 minute 
Description not available (not OGL)_x000D_
#Bard #Wizard</v>
      </c>
      <c r="C387" t="str">
        <f t="shared" si="25"/>
        <v>level 5</v>
      </c>
      <c r="D387" s="1" t="s">
        <v>612</v>
      </c>
      <c r="E387" t="str">
        <f t="shared" si="26"/>
        <v>level 5</v>
      </c>
      <c r="F387" t="str">
        <f t="shared" si="27"/>
        <v>NULL</v>
      </c>
      <c r="G387" t="str">
        <f>_xlfn.TEXTJOIN(" ",TRUE,IF(IFERROR(MATCH(SUBSTITUTE(A387,".md",""),'Bard Spells'!A:A,0),0)&gt;0,"#Bard",""),IF(IFERROR(MATCH(SUBSTITUTE(A387,".md",""),'Cleric Spells'!A:A,0),0)&gt;0,"#Cleric",""),IF(IFERROR(MATCH(SUBSTITUTE(A387,".md",""),'Druid Spells'!A:A,0),0)&gt;0,"#Druid",""),IF(IFERROR(MATCH(SUBSTITUTE(A387,".md",""),'Paladin Spells'!A:A,0),0)&gt;0,"#Paladin",""),IF(IFERROR(MATCH(SUBSTITUTE(A387,".md",""),'Ranger Spells'!A:A,0),0)&gt;0,"#Ranger",""),IF(IFERROR(MATCH(SUBSTITUTE(A387,".md",""),'Sorcerer Spells'!A:A,0),0)&gt;0,"#Sorcerer",""),IF(IFERROR(MATCH(SUBSTITUTE(A387,".md",""),'Warlock Spells'!A:A,0),0)&gt;0,"#Warlock",""),IF(IFERROR(MATCH(SUBSTITUTE(A387,".md",""),'Wizard Spells'!A:A,0),0)&gt;0,"#Wizard",""))</f>
        <v>#Bard #Wizard</v>
      </c>
    </row>
    <row r="388" spans="1:7" ht="120" x14ac:dyDescent="0.25">
      <c r="A388" t="s">
        <v>613</v>
      </c>
      <c r="B388" s="1" t="str">
        <f t="shared" si="24"/>
        <v>level 2 - #enchantment Casting Time: Action Range: 60 feet Components: V, S Duration: 10 minutes 
You create a magical zone that guards against deception in a 15- foot-radius Sphere centered on a point within range. Until the spell ends, a creature that enters the spell's area for the first time on a turn or starts its turn there makes a Charisma saving throw. On a failed save, a creature can't speak a deliberate lie while in the radius. You know whether a creature succeeds or fails on this save. An affected creature is aware of the spell and can avoid answering questions to which it would normally respond with a lie. Such a creature can be evasive yet must be truthful_x000D_
#Bard #Cleric #Paladin</v>
      </c>
      <c r="C388" t="str">
        <f t="shared" si="25"/>
        <v>level 2</v>
      </c>
      <c r="D388" s="1" t="s">
        <v>614</v>
      </c>
      <c r="E388" t="str">
        <f t="shared" si="26"/>
        <v>level 2</v>
      </c>
      <c r="F388" t="str">
        <f t="shared" si="27"/>
        <v>NULL</v>
      </c>
      <c r="G388" t="str">
        <f>_xlfn.TEXTJOIN(" ",TRUE,IF(IFERROR(MATCH(SUBSTITUTE(A388,".md",""),'Bard Spells'!A:A,0),0)&gt;0,"#Bard",""),IF(IFERROR(MATCH(SUBSTITUTE(A388,".md",""),'Cleric Spells'!A:A,0),0)&gt;0,"#Cleric",""),IF(IFERROR(MATCH(SUBSTITUTE(A388,".md",""),'Druid Spells'!A:A,0),0)&gt;0,"#Druid",""),IF(IFERROR(MATCH(SUBSTITUTE(A388,".md",""),'Paladin Spells'!A:A,0),0)&gt;0,"#Paladin",""),IF(IFERROR(MATCH(SUBSTITUTE(A388,".md",""),'Ranger Spells'!A:A,0),0)&gt;0,"#Ranger",""),IF(IFERROR(MATCH(SUBSTITUTE(A388,".md",""),'Sorcerer Spells'!A:A,0),0)&gt;0,"#Sorcerer",""),IF(IFERROR(MATCH(SUBSTITUTE(A388,".md",""),'Warlock Spells'!A:A,0),0)&gt;0,"#Warlock",""),IF(IFERROR(MATCH(SUBSTITUTE(A388,".md",""),'Wizard Spells'!A:A,0),0)&gt;0,"#Wizard",""))</f>
        <v>#Bard #Cleric #Paladin</v>
      </c>
    </row>
  </sheetData>
  <autoFilter ref="A1:F388" xr:uid="{EE516914-8542-4B2D-94E8-84172EFD82A1}"/>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22E03-3202-40C0-B053-3C78D74287F0}">
  <sheetPr codeName="Sheet2"/>
  <dimension ref="A1:J140"/>
  <sheetViews>
    <sheetView topLeftCell="H117" workbookViewId="0">
      <selection activeCell="B1" sqref="B1:J140"/>
    </sheetView>
  </sheetViews>
  <sheetFormatPr defaultRowHeight="15" x14ac:dyDescent="0.25"/>
  <sheetData>
    <row r="1" spans="1:10" x14ac:dyDescent="0.25">
      <c r="A1" t="s">
        <v>707</v>
      </c>
      <c r="B1" t="str">
        <f t="shared" ref="B1:B32" si="0">"[["&amp;A1&amp;"]]"</f>
        <v>[[Aid]]</v>
      </c>
      <c r="C1">
        <v>2</v>
      </c>
      <c r="D1" t="s">
        <v>737</v>
      </c>
      <c r="E1" t="s">
        <v>710</v>
      </c>
      <c r="F1" t="s">
        <v>711</v>
      </c>
      <c r="G1" t="s">
        <v>728</v>
      </c>
      <c r="H1" t="s">
        <v>713</v>
      </c>
    </row>
    <row r="2" spans="1:10" x14ac:dyDescent="0.25">
      <c r="A2" t="s">
        <v>708</v>
      </c>
      <c r="B2" t="str">
        <f t="shared" si="0"/>
        <v>[[Animal Friendship]]</v>
      </c>
      <c r="C2">
        <v>1</v>
      </c>
      <c r="D2" t="s">
        <v>709</v>
      </c>
      <c r="E2" t="s">
        <v>710</v>
      </c>
      <c r="F2" t="s">
        <v>711</v>
      </c>
      <c r="G2" t="s">
        <v>712</v>
      </c>
      <c r="H2" t="s">
        <v>713</v>
      </c>
    </row>
    <row r="3" spans="1:10" x14ac:dyDescent="0.25">
      <c r="A3" t="s">
        <v>714</v>
      </c>
      <c r="B3" t="str">
        <f t="shared" si="0"/>
        <v>[[Animal Messenger]]</v>
      </c>
      <c r="C3">
        <v>2</v>
      </c>
      <c r="D3" t="s">
        <v>709</v>
      </c>
      <c r="E3" t="s">
        <v>715</v>
      </c>
      <c r="F3" t="s">
        <v>711</v>
      </c>
      <c r="G3" t="s">
        <v>712</v>
      </c>
      <c r="H3" t="s">
        <v>713</v>
      </c>
      <c r="J3" t="s">
        <v>716</v>
      </c>
    </row>
    <row r="4" spans="1:10" x14ac:dyDescent="0.25">
      <c r="A4" t="s">
        <v>717</v>
      </c>
      <c r="B4" t="str">
        <f t="shared" si="0"/>
        <v>[[Animate Objects]]</v>
      </c>
      <c r="C4">
        <v>5</v>
      </c>
      <c r="D4" t="s">
        <v>718</v>
      </c>
      <c r="E4" t="s">
        <v>710</v>
      </c>
      <c r="F4" t="s">
        <v>719</v>
      </c>
      <c r="G4" t="s">
        <v>720</v>
      </c>
      <c r="H4" t="s">
        <v>721</v>
      </c>
      <c r="I4" t="s">
        <v>722</v>
      </c>
    </row>
    <row r="5" spans="1:10" x14ac:dyDescent="0.25">
      <c r="A5" t="s">
        <v>723</v>
      </c>
      <c r="B5" t="str">
        <f t="shared" si="0"/>
        <v>[[Antipathy/Sympathy]]</v>
      </c>
      <c r="C5">
        <v>8</v>
      </c>
      <c r="D5" t="s">
        <v>709</v>
      </c>
      <c r="E5" t="s">
        <v>724</v>
      </c>
      <c r="F5" t="s">
        <v>725</v>
      </c>
      <c r="G5" t="s">
        <v>726</v>
      </c>
      <c r="H5" t="s">
        <v>713</v>
      </c>
    </row>
    <row r="6" spans="1:10" x14ac:dyDescent="0.25">
      <c r="A6" t="s">
        <v>727</v>
      </c>
      <c r="B6" t="str">
        <f t="shared" si="0"/>
        <v>[[Awaken]]</v>
      </c>
      <c r="C6">
        <v>5</v>
      </c>
      <c r="D6" t="s">
        <v>718</v>
      </c>
      <c r="E6" t="s">
        <v>728</v>
      </c>
      <c r="F6" t="s">
        <v>729</v>
      </c>
      <c r="G6" t="s">
        <v>730</v>
      </c>
      <c r="H6" t="s">
        <v>713</v>
      </c>
    </row>
    <row r="7" spans="1:10" x14ac:dyDescent="0.25">
      <c r="A7" t="s">
        <v>731</v>
      </c>
      <c r="B7" t="str">
        <f t="shared" si="0"/>
        <v>[[Bane]]</v>
      </c>
      <c r="C7">
        <v>1</v>
      </c>
      <c r="D7" t="s">
        <v>709</v>
      </c>
      <c r="E7" t="s">
        <v>710</v>
      </c>
      <c r="F7" t="s">
        <v>711</v>
      </c>
      <c r="G7" t="s">
        <v>720</v>
      </c>
      <c r="H7" t="s">
        <v>713</v>
      </c>
      <c r="I7" t="s">
        <v>722</v>
      </c>
    </row>
    <row r="8" spans="1:10" x14ac:dyDescent="0.25">
      <c r="A8" t="s">
        <v>732</v>
      </c>
      <c r="B8" t="str">
        <f t="shared" si="0"/>
        <v>[[Befuddlement]]</v>
      </c>
      <c r="C8">
        <v>8</v>
      </c>
      <c r="D8" t="s">
        <v>709</v>
      </c>
      <c r="E8" t="s">
        <v>710</v>
      </c>
      <c r="F8" t="s">
        <v>733</v>
      </c>
      <c r="G8" t="s">
        <v>730</v>
      </c>
      <c r="H8" t="s">
        <v>713</v>
      </c>
    </row>
    <row r="9" spans="1:10" x14ac:dyDescent="0.25">
      <c r="A9" t="s">
        <v>734</v>
      </c>
      <c r="B9" t="str">
        <f t="shared" si="0"/>
        <v>[[Bestow Curse]]</v>
      </c>
      <c r="C9">
        <v>3</v>
      </c>
      <c r="D9" t="s">
        <v>735</v>
      </c>
      <c r="E9" t="s">
        <v>710</v>
      </c>
      <c r="F9" t="s">
        <v>729</v>
      </c>
      <c r="G9" t="s">
        <v>720</v>
      </c>
      <c r="H9" t="s">
        <v>721</v>
      </c>
      <c r="I9" t="s">
        <v>722</v>
      </c>
    </row>
    <row r="10" spans="1:10" x14ac:dyDescent="0.25">
      <c r="A10" t="s">
        <v>736</v>
      </c>
      <c r="B10" t="str">
        <f t="shared" si="0"/>
        <v>[[Blade Ward]]</v>
      </c>
      <c r="C10">
        <v>0</v>
      </c>
      <c r="D10" t="s">
        <v>737</v>
      </c>
      <c r="E10" t="s">
        <v>710</v>
      </c>
      <c r="F10" t="s">
        <v>738</v>
      </c>
      <c r="G10" t="s">
        <v>720</v>
      </c>
      <c r="H10" t="s">
        <v>721</v>
      </c>
      <c r="I10" t="s">
        <v>722</v>
      </c>
    </row>
    <row r="11" spans="1:10" x14ac:dyDescent="0.25">
      <c r="A11" t="s">
        <v>739</v>
      </c>
      <c r="B11" t="str">
        <f t="shared" si="0"/>
        <v>[[Blindness/Deafness]]</v>
      </c>
      <c r="C11">
        <v>2</v>
      </c>
      <c r="D11" t="s">
        <v>718</v>
      </c>
      <c r="E11" t="s">
        <v>710</v>
      </c>
      <c r="F11" t="s">
        <v>719</v>
      </c>
      <c r="G11" t="s">
        <v>720</v>
      </c>
      <c r="H11" t="s">
        <v>740</v>
      </c>
    </row>
    <row r="12" spans="1:10" x14ac:dyDescent="0.25">
      <c r="A12" t="s">
        <v>741</v>
      </c>
      <c r="B12" t="str">
        <f t="shared" si="0"/>
        <v>[[Calm Emotions]]</v>
      </c>
      <c r="C12">
        <v>2</v>
      </c>
      <c r="D12" t="s">
        <v>709</v>
      </c>
      <c r="E12" t="s">
        <v>710</v>
      </c>
      <c r="F12" t="s">
        <v>725</v>
      </c>
      <c r="G12" t="s">
        <v>720</v>
      </c>
      <c r="H12" t="s">
        <v>721</v>
      </c>
      <c r="I12" t="s">
        <v>722</v>
      </c>
    </row>
    <row r="13" spans="1:10" x14ac:dyDescent="0.25">
      <c r="A13" t="s">
        <v>742</v>
      </c>
      <c r="B13" t="str">
        <f t="shared" si="0"/>
        <v>[[Charm Monster]]</v>
      </c>
      <c r="C13">
        <v>4</v>
      </c>
      <c r="D13" t="s">
        <v>709</v>
      </c>
      <c r="E13" t="s">
        <v>710</v>
      </c>
      <c r="F13" t="s">
        <v>711</v>
      </c>
      <c r="G13" t="s">
        <v>724</v>
      </c>
      <c r="H13" t="s">
        <v>721</v>
      </c>
    </row>
    <row r="14" spans="1:10" x14ac:dyDescent="0.25">
      <c r="A14" t="s">
        <v>743</v>
      </c>
      <c r="B14" t="str">
        <f t="shared" si="0"/>
        <v>[[Charm Person]]</v>
      </c>
      <c r="C14">
        <v>1</v>
      </c>
      <c r="D14" t="s">
        <v>709</v>
      </c>
      <c r="E14" t="s">
        <v>710</v>
      </c>
      <c r="F14" t="s">
        <v>711</v>
      </c>
      <c r="G14" t="s">
        <v>724</v>
      </c>
      <c r="H14" t="s">
        <v>721</v>
      </c>
    </row>
    <row r="15" spans="1:10" x14ac:dyDescent="0.25">
      <c r="A15" t="s">
        <v>744</v>
      </c>
      <c r="B15" t="str">
        <f t="shared" si="0"/>
        <v>[[Clairvoyance]]</v>
      </c>
      <c r="C15">
        <v>3</v>
      </c>
      <c r="D15" t="s">
        <v>745</v>
      </c>
      <c r="E15" t="s">
        <v>746</v>
      </c>
      <c r="F15" t="s">
        <v>747</v>
      </c>
      <c r="G15" t="s">
        <v>746</v>
      </c>
      <c r="H15" t="s">
        <v>713</v>
      </c>
      <c r="I15" t="s">
        <v>722</v>
      </c>
    </row>
    <row r="16" spans="1:10" x14ac:dyDescent="0.25">
      <c r="A16" t="s">
        <v>748</v>
      </c>
      <c r="B16" t="str">
        <f t="shared" si="0"/>
        <v>[[Cloud of Daggers]]</v>
      </c>
      <c r="C16">
        <v>2</v>
      </c>
      <c r="D16" t="s">
        <v>749</v>
      </c>
      <c r="E16" t="s">
        <v>710</v>
      </c>
      <c r="F16" t="s">
        <v>725</v>
      </c>
      <c r="G16" t="s">
        <v>720</v>
      </c>
      <c r="H16" t="s">
        <v>713</v>
      </c>
      <c r="I16" t="s">
        <v>722</v>
      </c>
    </row>
    <row r="17" spans="1:10" x14ac:dyDescent="0.25">
      <c r="A17" t="s">
        <v>750</v>
      </c>
      <c r="B17" t="str">
        <f t="shared" si="0"/>
        <v>[[Color Spray]]</v>
      </c>
      <c r="C17">
        <v>1</v>
      </c>
      <c r="D17" t="s">
        <v>751</v>
      </c>
      <c r="E17" t="s">
        <v>710</v>
      </c>
      <c r="F17" t="s">
        <v>738</v>
      </c>
      <c r="G17" t="s">
        <v>730</v>
      </c>
      <c r="H17" t="s">
        <v>713</v>
      </c>
    </row>
    <row r="18" spans="1:10" x14ac:dyDescent="0.25">
      <c r="A18" t="s">
        <v>752</v>
      </c>
      <c r="B18" t="str">
        <f t="shared" si="0"/>
        <v>[[Command]]</v>
      </c>
      <c r="C18">
        <v>1</v>
      </c>
      <c r="D18" t="s">
        <v>709</v>
      </c>
      <c r="E18" t="s">
        <v>710</v>
      </c>
      <c r="F18" t="s">
        <v>725</v>
      </c>
      <c r="G18" t="s">
        <v>730</v>
      </c>
      <c r="H18" t="s">
        <v>740</v>
      </c>
    </row>
    <row r="19" spans="1:10" x14ac:dyDescent="0.25">
      <c r="A19" t="s">
        <v>753</v>
      </c>
      <c r="B19" t="str">
        <f t="shared" si="0"/>
        <v>[[Comprehend Languages]]</v>
      </c>
      <c r="C19">
        <v>1</v>
      </c>
      <c r="D19" t="s">
        <v>745</v>
      </c>
      <c r="E19" t="s">
        <v>715</v>
      </c>
      <c r="F19" t="s">
        <v>738</v>
      </c>
      <c r="G19" t="s">
        <v>724</v>
      </c>
      <c r="H19" t="s">
        <v>713</v>
      </c>
      <c r="J19" t="s">
        <v>716</v>
      </c>
    </row>
    <row r="20" spans="1:10" x14ac:dyDescent="0.25">
      <c r="A20" t="s">
        <v>754</v>
      </c>
      <c r="B20" t="str">
        <f t="shared" si="0"/>
        <v>[[Compulsion]]</v>
      </c>
      <c r="C20">
        <v>4</v>
      </c>
      <c r="D20" t="s">
        <v>709</v>
      </c>
      <c r="E20" t="s">
        <v>710</v>
      </c>
      <c r="F20" t="s">
        <v>711</v>
      </c>
      <c r="G20" t="s">
        <v>720</v>
      </c>
      <c r="H20" t="s">
        <v>721</v>
      </c>
      <c r="I20" t="s">
        <v>722</v>
      </c>
    </row>
    <row r="21" spans="1:10" x14ac:dyDescent="0.25">
      <c r="A21" t="s">
        <v>755</v>
      </c>
      <c r="B21" t="str">
        <f t="shared" si="0"/>
        <v>[[Confusion]]</v>
      </c>
      <c r="C21">
        <v>4</v>
      </c>
      <c r="D21" t="s">
        <v>709</v>
      </c>
      <c r="E21" t="s">
        <v>710</v>
      </c>
      <c r="F21" t="s">
        <v>756</v>
      </c>
      <c r="G21" t="s">
        <v>720</v>
      </c>
      <c r="H21" t="s">
        <v>713</v>
      </c>
      <c r="I21" t="s">
        <v>722</v>
      </c>
    </row>
    <row r="22" spans="1:10" x14ac:dyDescent="0.25">
      <c r="A22" t="s">
        <v>757</v>
      </c>
      <c r="B22" t="str">
        <f t="shared" si="0"/>
        <v>[[Crown of Madness]]</v>
      </c>
      <c r="C22">
        <v>2</v>
      </c>
      <c r="D22" t="s">
        <v>709</v>
      </c>
      <c r="E22" t="s">
        <v>710</v>
      </c>
      <c r="F22" t="s">
        <v>719</v>
      </c>
      <c r="G22" t="s">
        <v>720</v>
      </c>
      <c r="H22" t="s">
        <v>721</v>
      </c>
      <c r="I22" t="s">
        <v>722</v>
      </c>
    </row>
    <row r="23" spans="1:10" x14ac:dyDescent="0.25">
      <c r="A23" t="s">
        <v>758</v>
      </c>
      <c r="B23" t="str">
        <f t="shared" si="0"/>
        <v>[[Cure Wounds]]</v>
      </c>
      <c r="C23">
        <v>1</v>
      </c>
      <c r="D23" t="s">
        <v>737</v>
      </c>
      <c r="E23" t="s">
        <v>710</v>
      </c>
      <c r="F23" t="s">
        <v>729</v>
      </c>
      <c r="G23" t="s">
        <v>730</v>
      </c>
      <c r="H23" t="s">
        <v>721</v>
      </c>
    </row>
    <row r="24" spans="1:10" x14ac:dyDescent="0.25">
      <c r="A24" t="s">
        <v>759</v>
      </c>
      <c r="B24" t="str">
        <f t="shared" si="0"/>
        <v>[[Dancing Lights]]</v>
      </c>
      <c r="C24">
        <v>0</v>
      </c>
      <c r="D24" t="s">
        <v>751</v>
      </c>
      <c r="E24" t="s">
        <v>710</v>
      </c>
      <c r="F24" t="s">
        <v>719</v>
      </c>
      <c r="G24" t="s">
        <v>720</v>
      </c>
      <c r="H24" t="s">
        <v>713</v>
      </c>
      <c r="I24" t="s">
        <v>722</v>
      </c>
    </row>
    <row r="25" spans="1:10" x14ac:dyDescent="0.25">
      <c r="A25" t="s">
        <v>760</v>
      </c>
      <c r="B25" t="str">
        <f t="shared" si="0"/>
        <v>[[Detect Magic]]</v>
      </c>
      <c r="C25">
        <v>1</v>
      </c>
      <c r="D25" t="s">
        <v>745</v>
      </c>
      <c r="E25" t="s">
        <v>715</v>
      </c>
      <c r="F25" t="s">
        <v>738</v>
      </c>
      <c r="G25" t="s">
        <v>746</v>
      </c>
      <c r="H25" t="s">
        <v>721</v>
      </c>
      <c r="I25" t="s">
        <v>722</v>
      </c>
      <c r="J25" t="s">
        <v>716</v>
      </c>
    </row>
    <row r="26" spans="1:10" x14ac:dyDescent="0.25">
      <c r="A26" t="s">
        <v>761</v>
      </c>
      <c r="B26" t="str">
        <f t="shared" si="0"/>
        <v>[[Detect Thoughts]]</v>
      </c>
      <c r="C26">
        <v>2</v>
      </c>
      <c r="D26" t="s">
        <v>745</v>
      </c>
      <c r="E26" t="s">
        <v>710</v>
      </c>
      <c r="F26" t="s">
        <v>738</v>
      </c>
      <c r="G26" t="s">
        <v>720</v>
      </c>
      <c r="H26" t="s">
        <v>713</v>
      </c>
      <c r="I26" t="s">
        <v>722</v>
      </c>
    </row>
    <row r="27" spans="1:10" x14ac:dyDescent="0.25">
      <c r="A27" t="s">
        <v>762</v>
      </c>
      <c r="B27" t="str">
        <f t="shared" si="0"/>
        <v>[[Dimension Door]]</v>
      </c>
      <c r="C27">
        <v>4</v>
      </c>
      <c r="D27" t="s">
        <v>749</v>
      </c>
      <c r="E27" t="s">
        <v>710</v>
      </c>
      <c r="F27" t="s">
        <v>763</v>
      </c>
      <c r="G27" t="s">
        <v>730</v>
      </c>
      <c r="H27" t="s">
        <v>740</v>
      </c>
    </row>
    <row r="28" spans="1:10" x14ac:dyDescent="0.25">
      <c r="A28" t="s">
        <v>764</v>
      </c>
      <c r="B28" t="str">
        <f t="shared" si="0"/>
        <v>[[Disguise Self]]</v>
      </c>
      <c r="C28">
        <v>1</v>
      </c>
      <c r="D28" t="s">
        <v>751</v>
      </c>
      <c r="E28" t="s">
        <v>710</v>
      </c>
      <c r="F28" t="s">
        <v>738</v>
      </c>
      <c r="G28" t="s">
        <v>724</v>
      </c>
      <c r="H28" t="s">
        <v>721</v>
      </c>
    </row>
    <row r="29" spans="1:10" x14ac:dyDescent="0.25">
      <c r="A29" t="s">
        <v>765</v>
      </c>
      <c r="B29" t="str">
        <f t="shared" si="0"/>
        <v>[[Dispel Magic]]</v>
      </c>
      <c r="C29">
        <v>3</v>
      </c>
      <c r="D29" t="s">
        <v>737</v>
      </c>
      <c r="E29" t="s">
        <v>710</v>
      </c>
      <c r="F29" t="s">
        <v>719</v>
      </c>
      <c r="G29" t="s">
        <v>730</v>
      </c>
      <c r="H29" t="s">
        <v>721</v>
      </c>
    </row>
    <row r="30" spans="1:10" x14ac:dyDescent="0.25">
      <c r="A30" t="s">
        <v>766</v>
      </c>
      <c r="B30" t="str">
        <f t="shared" si="0"/>
        <v>[[Dissonant Whispers]]</v>
      </c>
      <c r="C30">
        <v>1</v>
      </c>
      <c r="D30" t="s">
        <v>709</v>
      </c>
      <c r="E30" t="s">
        <v>710</v>
      </c>
      <c r="F30" t="s">
        <v>725</v>
      </c>
      <c r="G30" t="s">
        <v>730</v>
      </c>
      <c r="H30" t="s">
        <v>740</v>
      </c>
    </row>
    <row r="31" spans="1:10" x14ac:dyDescent="0.25">
      <c r="A31" t="s">
        <v>767</v>
      </c>
      <c r="B31" t="str">
        <f t="shared" si="0"/>
        <v>[[Dominate Monster]]</v>
      </c>
      <c r="C31">
        <v>8</v>
      </c>
      <c r="D31" t="s">
        <v>709</v>
      </c>
      <c r="E31" t="s">
        <v>710</v>
      </c>
      <c r="F31" t="s">
        <v>725</v>
      </c>
      <c r="G31" t="s">
        <v>724</v>
      </c>
      <c r="H31" t="s">
        <v>721</v>
      </c>
      <c r="I31" t="s">
        <v>722</v>
      </c>
    </row>
    <row r="32" spans="1:10" x14ac:dyDescent="0.25">
      <c r="A32" t="s">
        <v>768</v>
      </c>
      <c r="B32" t="str">
        <f t="shared" si="0"/>
        <v>[[Dominate Person]]</v>
      </c>
      <c r="C32">
        <v>5</v>
      </c>
      <c r="D32" t="s">
        <v>709</v>
      </c>
      <c r="E32" t="s">
        <v>710</v>
      </c>
      <c r="F32" t="s">
        <v>725</v>
      </c>
      <c r="G32" t="s">
        <v>720</v>
      </c>
      <c r="H32" t="s">
        <v>721</v>
      </c>
      <c r="I32" t="s">
        <v>722</v>
      </c>
    </row>
    <row r="33" spans="1:10" x14ac:dyDescent="0.25">
      <c r="A33" t="s">
        <v>769</v>
      </c>
      <c r="B33" t="str">
        <f t="shared" ref="B33:B64" si="1">"[["&amp;A33&amp;"]]"</f>
        <v>[[Dream]]</v>
      </c>
      <c r="C33">
        <v>5</v>
      </c>
      <c r="D33" t="s">
        <v>751</v>
      </c>
      <c r="E33" t="s">
        <v>720</v>
      </c>
      <c r="F33" t="s">
        <v>770</v>
      </c>
      <c r="G33" t="s">
        <v>728</v>
      </c>
      <c r="H33" t="s">
        <v>713</v>
      </c>
    </row>
    <row r="34" spans="1:10" x14ac:dyDescent="0.25">
      <c r="A34" t="s">
        <v>771</v>
      </c>
      <c r="B34" t="str">
        <f t="shared" si="1"/>
        <v>[[Enhance Ability]]</v>
      </c>
      <c r="C34">
        <v>2</v>
      </c>
      <c r="D34" t="s">
        <v>718</v>
      </c>
      <c r="E34" t="s">
        <v>710</v>
      </c>
      <c r="F34" t="s">
        <v>729</v>
      </c>
      <c r="G34" t="s">
        <v>724</v>
      </c>
      <c r="H34" t="s">
        <v>713</v>
      </c>
      <c r="I34" t="s">
        <v>722</v>
      </c>
    </row>
    <row r="35" spans="1:10" x14ac:dyDescent="0.25">
      <c r="A35" t="s">
        <v>772</v>
      </c>
      <c r="B35" t="str">
        <f t="shared" si="1"/>
        <v>[[Enlarge/Reduce]]</v>
      </c>
      <c r="C35">
        <v>2</v>
      </c>
      <c r="D35" t="s">
        <v>718</v>
      </c>
      <c r="E35" t="s">
        <v>710</v>
      </c>
      <c r="F35" t="s">
        <v>711</v>
      </c>
      <c r="G35" t="s">
        <v>720</v>
      </c>
      <c r="H35" t="s">
        <v>713</v>
      </c>
      <c r="I35" t="s">
        <v>722</v>
      </c>
    </row>
    <row r="36" spans="1:10" x14ac:dyDescent="0.25">
      <c r="A36" t="s">
        <v>773</v>
      </c>
      <c r="B36" t="str">
        <f t="shared" si="1"/>
        <v>[[Enthrall]]</v>
      </c>
      <c r="C36">
        <v>2</v>
      </c>
      <c r="D36" t="s">
        <v>709</v>
      </c>
      <c r="E36" t="s">
        <v>710</v>
      </c>
      <c r="F36" t="s">
        <v>725</v>
      </c>
      <c r="G36" t="s">
        <v>720</v>
      </c>
      <c r="H36" t="s">
        <v>721</v>
      </c>
      <c r="I36" t="s">
        <v>722</v>
      </c>
    </row>
    <row r="37" spans="1:10" x14ac:dyDescent="0.25">
      <c r="A37" t="s">
        <v>774</v>
      </c>
      <c r="B37" t="str">
        <f t="shared" si="1"/>
        <v>[[Etherealness]]</v>
      </c>
      <c r="C37">
        <v>7</v>
      </c>
      <c r="D37" t="s">
        <v>749</v>
      </c>
      <c r="E37" t="s">
        <v>710</v>
      </c>
      <c r="F37" t="s">
        <v>738</v>
      </c>
      <c r="G37" t="s">
        <v>728</v>
      </c>
      <c r="H37" t="s">
        <v>721</v>
      </c>
    </row>
    <row r="38" spans="1:10" x14ac:dyDescent="0.25">
      <c r="A38" t="s">
        <v>775</v>
      </c>
      <c r="B38" t="str">
        <f t="shared" si="1"/>
        <v>[[Eyebite]]</v>
      </c>
      <c r="C38">
        <v>6</v>
      </c>
      <c r="D38" t="s">
        <v>735</v>
      </c>
      <c r="E38" t="s">
        <v>710</v>
      </c>
      <c r="F38" t="s">
        <v>738</v>
      </c>
      <c r="G38" t="s">
        <v>720</v>
      </c>
      <c r="H38" t="s">
        <v>721</v>
      </c>
      <c r="I38" t="s">
        <v>722</v>
      </c>
    </row>
    <row r="39" spans="1:10" x14ac:dyDescent="0.25">
      <c r="A39" t="s">
        <v>776</v>
      </c>
      <c r="B39" t="str">
        <f t="shared" si="1"/>
        <v>[[Faerie Fire]]</v>
      </c>
      <c r="C39">
        <v>1</v>
      </c>
      <c r="D39" t="s">
        <v>777</v>
      </c>
      <c r="E39" t="s">
        <v>710</v>
      </c>
      <c r="F39" t="s">
        <v>725</v>
      </c>
      <c r="G39" t="s">
        <v>720</v>
      </c>
      <c r="H39" t="s">
        <v>740</v>
      </c>
      <c r="I39" t="s">
        <v>722</v>
      </c>
    </row>
    <row r="40" spans="1:10" x14ac:dyDescent="0.25">
      <c r="A40" t="s">
        <v>778</v>
      </c>
      <c r="B40" t="str">
        <f t="shared" si="1"/>
        <v>[[Fear]]</v>
      </c>
      <c r="C40">
        <v>3</v>
      </c>
      <c r="D40" t="s">
        <v>751</v>
      </c>
      <c r="E40" t="s">
        <v>710</v>
      </c>
      <c r="F40" t="s">
        <v>738</v>
      </c>
      <c r="G40" t="s">
        <v>720</v>
      </c>
      <c r="H40" t="s">
        <v>713</v>
      </c>
      <c r="I40" t="s">
        <v>722</v>
      </c>
    </row>
    <row r="41" spans="1:10" x14ac:dyDescent="0.25">
      <c r="A41" t="s">
        <v>779</v>
      </c>
      <c r="B41" t="str">
        <f t="shared" si="1"/>
        <v>[[Feather Fall]]</v>
      </c>
      <c r="C41">
        <v>1</v>
      </c>
      <c r="D41" t="s">
        <v>718</v>
      </c>
      <c r="E41" t="s">
        <v>780</v>
      </c>
      <c r="F41" t="s">
        <v>725</v>
      </c>
      <c r="G41" t="s">
        <v>720</v>
      </c>
      <c r="H41" t="s">
        <v>781</v>
      </c>
    </row>
    <row r="42" spans="1:10" x14ac:dyDescent="0.25">
      <c r="A42" t="s">
        <v>782</v>
      </c>
      <c r="B42" t="str">
        <f t="shared" si="1"/>
        <v>[[Feign Death]]</v>
      </c>
      <c r="C42">
        <v>3</v>
      </c>
      <c r="D42" t="s">
        <v>735</v>
      </c>
      <c r="E42" t="s">
        <v>715</v>
      </c>
      <c r="F42" t="s">
        <v>729</v>
      </c>
      <c r="G42" t="s">
        <v>724</v>
      </c>
      <c r="H42" t="s">
        <v>713</v>
      </c>
      <c r="J42" t="s">
        <v>716</v>
      </c>
    </row>
    <row r="43" spans="1:10" x14ac:dyDescent="0.25">
      <c r="A43" t="s">
        <v>783</v>
      </c>
      <c r="B43" t="str">
        <f t="shared" si="1"/>
        <v>[[Find the Path]]</v>
      </c>
      <c r="C43">
        <v>6</v>
      </c>
      <c r="D43" t="s">
        <v>745</v>
      </c>
      <c r="E43" t="s">
        <v>720</v>
      </c>
      <c r="F43" t="s">
        <v>738</v>
      </c>
      <c r="G43" t="s">
        <v>784</v>
      </c>
      <c r="H43" t="s">
        <v>713</v>
      </c>
      <c r="I43" t="s">
        <v>722</v>
      </c>
    </row>
    <row r="44" spans="1:10" x14ac:dyDescent="0.25">
      <c r="A44" t="s">
        <v>785</v>
      </c>
      <c r="B44" t="str">
        <f t="shared" si="1"/>
        <v>[[Forcecage]]</v>
      </c>
      <c r="C44">
        <v>7</v>
      </c>
      <c r="D44" t="s">
        <v>777</v>
      </c>
      <c r="E44" t="s">
        <v>710</v>
      </c>
      <c r="F44" t="s">
        <v>786</v>
      </c>
      <c r="G44" t="s">
        <v>724</v>
      </c>
      <c r="H44" t="s">
        <v>713</v>
      </c>
    </row>
    <row r="45" spans="1:10" x14ac:dyDescent="0.25">
      <c r="A45" t="s">
        <v>787</v>
      </c>
      <c r="B45" t="str">
        <f t="shared" si="1"/>
        <v>[[Foresight]]</v>
      </c>
      <c r="C45">
        <v>9</v>
      </c>
      <c r="D45" t="s">
        <v>745</v>
      </c>
      <c r="E45" t="s">
        <v>720</v>
      </c>
      <c r="F45" t="s">
        <v>729</v>
      </c>
      <c r="G45" t="s">
        <v>728</v>
      </c>
      <c r="H45" t="s">
        <v>713</v>
      </c>
    </row>
    <row r="46" spans="1:10" x14ac:dyDescent="0.25">
      <c r="A46" t="s">
        <v>788</v>
      </c>
      <c r="B46" t="str">
        <f t="shared" si="1"/>
        <v>[[Fount of Moonlight]]</v>
      </c>
      <c r="C46">
        <v>4</v>
      </c>
      <c r="D46" t="s">
        <v>777</v>
      </c>
      <c r="E46" t="s">
        <v>710</v>
      </c>
      <c r="F46" t="s">
        <v>738</v>
      </c>
      <c r="G46" t="s">
        <v>746</v>
      </c>
      <c r="H46" t="s">
        <v>721</v>
      </c>
      <c r="I46" t="s">
        <v>722</v>
      </c>
    </row>
    <row r="47" spans="1:10" x14ac:dyDescent="0.25">
      <c r="A47" t="s">
        <v>789</v>
      </c>
      <c r="B47" t="str">
        <f t="shared" si="1"/>
        <v>[[Freedom of Movement]]</v>
      </c>
      <c r="C47">
        <v>4</v>
      </c>
      <c r="D47" t="s">
        <v>737</v>
      </c>
      <c r="E47" t="s">
        <v>710</v>
      </c>
      <c r="F47" t="s">
        <v>729</v>
      </c>
      <c r="G47" t="s">
        <v>724</v>
      </c>
      <c r="H47" t="s">
        <v>713</v>
      </c>
    </row>
    <row r="48" spans="1:10" x14ac:dyDescent="0.25">
      <c r="A48" t="s">
        <v>790</v>
      </c>
      <c r="B48" t="str">
        <f t="shared" si="1"/>
        <v>[[Friends]]</v>
      </c>
      <c r="C48">
        <v>0</v>
      </c>
      <c r="D48" t="s">
        <v>709</v>
      </c>
      <c r="E48" t="s">
        <v>710</v>
      </c>
      <c r="F48" t="s">
        <v>791</v>
      </c>
      <c r="G48" t="s">
        <v>720</v>
      </c>
      <c r="H48" t="s">
        <v>792</v>
      </c>
      <c r="I48" t="s">
        <v>722</v>
      </c>
    </row>
    <row r="49" spans="1:10" x14ac:dyDescent="0.25">
      <c r="A49" t="s">
        <v>793</v>
      </c>
      <c r="B49" t="str">
        <f t="shared" si="1"/>
        <v>[[Geas]]</v>
      </c>
      <c r="C49">
        <v>5</v>
      </c>
      <c r="D49" t="s">
        <v>709</v>
      </c>
      <c r="E49" t="s">
        <v>720</v>
      </c>
      <c r="F49" t="s">
        <v>725</v>
      </c>
      <c r="G49" t="s">
        <v>794</v>
      </c>
      <c r="H49" t="s">
        <v>740</v>
      </c>
    </row>
    <row r="50" spans="1:10" x14ac:dyDescent="0.25">
      <c r="A50" t="s">
        <v>795</v>
      </c>
      <c r="B50" t="str">
        <f t="shared" si="1"/>
        <v>[[Glibness]]</v>
      </c>
      <c r="C50">
        <v>8</v>
      </c>
      <c r="D50" t="s">
        <v>709</v>
      </c>
      <c r="E50" t="s">
        <v>710</v>
      </c>
      <c r="F50" t="s">
        <v>738</v>
      </c>
      <c r="G50" t="s">
        <v>724</v>
      </c>
      <c r="H50" t="s">
        <v>740</v>
      </c>
    </row>
    <row r="51" spans="1:10" x14ac:dyDescent="0.25">
      <c r="A51" t="s">
        <v>796</v>
      </c>
      <c r="B51" t="str">
        <f t="shared" si="1"/>
        <v>[[Glyph of Warding]]</v>
      </c>
      <c r="C51">
        <v>3</v>
      </c>
      <c r="D51" t="s">
        <v>737</v>
      </c>
      <c r="E51" t="s">
        <v>724</v>
      </c>
      <c r="F51" t="s">
        <v>729</v>
      </c>
      <c r="G51" t="s">
        <v>797</v>
      </c>
      <c r="H51" t="s">
        <v>713</v>
      </c>
    </row>
    <row r="52" spans="1:10" x14ac:dyDescent="0.25">
      <c r="A52" t="s">
        <v>798</v>
      </c>
      <c r="B52" t="str">
        <f t="shared" si="1"/>
        <v>[[Greater Invisibility]]</v>
      </c>
      <c r="C52">
        <v>4</v>
      </c>
      <c r="D52" t="s">
        <v>751</v>
      </c>
      <c r="E52" t="s">
        <v>710</v>
      </c>
      <c r="F52" t="s">
        <v>729</v>
      </c>
      <c r="G52" t="s">
        <v>720</v>
      </c>
      <c r="H52" t="s">
        <v>721</v>
      </c>
      <c r="I52" t="s">
        <v>722</v>
      </c>
    </row>
    <row r="53" spans="1:10" x14ac:dyDescent="0.25">
      <c r="A53" t="s">
        <v>799</v>
      </c>
      <c r="B53" t="str">
        <f t="shared" si="1"/>
        <v>[[Greater Restoration]]</v>
      </c>
      <c r="C53">
        <v>5</v>
      </c>
      <c r="D53" t="s">
        <v>737</v>
      </c>
      <c r="E53" t="s">
        <v>710</v>
      </c>
      <c r="F53" t="s">
        <v>729</v>
      </c>
      <c r="G53" t="s">
        <v>730</v>
      </c>
      <c r="H53" t="s">
        <v>713</v>
      </c>
    </row>
    <row r="54" spans="1:10" x14ac:dyDescent="0.25">
      <c r="A54" t="s">
        <v>800</v>
      </c>
      <c r="B54" t="str">
        <f t="shared" si="1"/>
        <v>[[Guards and Wards]]</v>
      </c>
      <c r="C54">
        <v>6</v>
      </c>
      <c r="D54" t="s">
        <v>737</v>
      </c>
      <c r="E54" t="s">
        <v>724</v>
      </c>
      <c r="F54" t="s">
        <v>729</v>
      </c>
      <c r="G54" t="s">
        <v>712</v>
      </c>
      <c r="H54" t="s">
        <v>713</v>
      </c>
    </row>
    <row r="55" spans="1:10" x14ac:dyDescent="0.25">
      <c r="A55" t="s">
        <v>801</v>
      </c>
      <c r="B55" t="str">
        <f t="shared" si="1"/>
        <v>[[Hallucinatory Terrain]]</v>
      </c>
      <c r="C55">
        <v>4</v>
      </c>
      <c r="D55" t="s">
        <v>751</v>
      </c>
      <c r="E55" t="s">
        <v>746</v>
      </c>
      <c r="F55" t="s">
        <v>802</v>
      </c>
      <c r="G55" t="s">
        <v>712</v>
      </c>
      <c r="H55" t="s">
        <v>713</v>
      </c>
    </row>
    <row r="56" spans="1:10" x14ac:dyDescent="0.25">
      <c r="A56" t="s">
        <v>803</v>
      </c>
      <c r="B56" t="str">
        <f t="shared" si="1"/>
        <v>[[Healing Word]]</v>
      </c>
      <c r="C56">
        <v>1</v>
      </c>
      <c r="D56" t="s">
        <v>737</v>
      </c>
      <c r="E56" t="s">
        <v>804</v>
      </c>
      <c r="F56" t="s">
        <v>725</v>
      </c>
      <c r="G56" t="s">
        <v>730</v>
      </c>
      <c r="H56" t="s">
        <v>740</v>
      </c>
    </row>
    <row r="57" spans="1:10" x14ac:dyDescent="0.25">
      <c r="A57" t="s">
        <v>805</v>
      </c>
      <c r="B57" t="str">
        <f t="shared" si="1"/>
        <v>[[Heat Metal]]</v>
      </c>
      <c r="C57">
        <v>2</v>
      </c>
      <c r="D57" t="s">
        <v>718</v>
      </c>
      <c r="E57" t="s">
        <v>710</v>
      </c>
      <c r="F57" t="s">
        <v>725</v>
      </c>
      <c r="G57" t="s">
        <v>720</v>
      </c>
      <c r="H57" t="s">
        <v>713</v>
      </c>
      <c r="I57" t="s">
        <v>722</v>
      </c>
    </row>
    <row r="58" spans="1:10" x14ac:dyDescent="0.25">
      <c r="A58" t="s">
        <v>806</v>
      </c>
      <c r="B58" t="str">
        <f t="shared" si="1"/>
        <v>[[Heroes' Feast]]</v>
      </c>
      <c r="C58">
        <v>6</v>
      </c>
      <c r="D58" t="s">
        <v>749</v>
      </c>
      <c r="E58" t="s">
        <v>746</v>
      </c>
      <c r="F58" t="s">
        <v>738</v>
      </c>
      <c r="G58" t="s">
        <v>730</v>
      </c>
      <c r="H58" t="s">
        <v>713</v>
      </c>
    </row>
    <row r="59" spans="1:10" x14ac:dyDescent="0.25">
      <c r="A59" t="s">
        <v>807</v>
      </c>
      <c r="B59" t="str">
        <f t="shared" si="1"/>
        <v>[[Heroism]]</v>
      </c>
      <c r="C59">
        <v>1</v>
      </c>
      <c r="D59" t="s">
        <v>709</v>
      </c>
      <c r="E59" t="s">
        <v>710</v>
      </c>
      <c r="F59" t="s">
        <v>729</v>
      </c>
      <c r="G59" t="s">
        <v>720</v>
      </c>
      <c r="H59" t="s">
        <v>721</v>
      </c>
      <c r="I59" t="s">
        <v>722</v>
      </c>
    </row>
    <row r="60" spans="1:10" x14ac:dyDescent="0.25">
      <c r="A60" t="s">
        <v>808</v>
      </c>
      <c r="B60" t="str">
        <f t="shared" si="1"/>
        <v>[[Hold Monster]]</v>
      </c>
      <c r="C60">
        <v>5</v>
      </c>
      <c r="D60" t="s">
        <v>709</v>
      </c>
      <c r="E60" t="s">
        <v>710</v>
      </c>
      <c r="F60" t="s">
        <v>756</v>
      </c>
      <c r="G60" t="s">
        <v>720</v>
      </c>
      <c r="H60" t="s">
        <v>713</v>
      </c>
      <c r="I60" t="s">
        <v>722</v>
      </c>
    </row>
    <row r="61" spans="1:10" x14ac:dyDescent="0.25">
      <c r="A61" t="s">
        <v>809</v>
      </c>
      <c r="B61" t="str">
        <f t="shared" si="1"/>
        <v>[[Hold Person]]</v>
      </c>
      <c r="C61">
        <v>2</v>
      </c>
      <c r="D61" t="s">
        <v>709</v>
      </c>
      <c r="E61" t="s">
        <v>710</v>
      </c>
      <c r="F61" t="s">
        <v>725</v>
      </c>
      <c r="G61" t="s">
        <v>720</v>
      </c>
      <c r="H61" t="s">
        <v>713</v>
      </c>
      <c r="I61" t="s">
        <v>722</v>
      </c>
    </row>
    <row r="62" spans="1:10" x14ac:dyDescent="0.25">
      <c r="A62" t="s">
        <v>810</v>
      </c>
      <c r="B62" t="str">
        <f t="shared" si="1"/>
        <v>[[Hypnotic Pattern]]</v>
      </c>
      <c r="C62">
        <v>3</v>
      </c>
      <c r="D62" t="s">
        <v>751</v>
      </c>
      <c r="E62" t="s">
        <v>710</v>
      </c>
      <c r="F62" t="s">
        <v>719</v>
      </c>
      <c r="G62" t="s">
        <v>720</v>
      </c>
      <c r="H62" t="s">
        <v>792</v>
      </c>
      <c r="I62" t="s">
        <v>722</v>
      </c>
    </row>
    <row r="63" spans="1:10" x14ac:dyDescent="0.25">
      <c r="A63" t="s">
        <v>811</v>
      </c>
      <c r="B63" t="str">
        <f t="shared" si="1"/>
        <v>[[Identify]]</v>
      </c>
      <c r="C63">
        <v>1</v>
      </c>
      <c r="D63" t="s">
        <v>745</v>
      </c>
      <c r="E63" t="s">
        <v>812</v>
      </c>
      <c r="F63" t="s">
        <v>729</v>
      </c>
      <c r="G63" t="s">
        <v>730</v>
      </c>
      <c r="H63" t="s">
        <v>713</v>
      </c>
      <c r="J63" t="s">
        <v>716</v>
      </c>
    </row>
    <row r="64" spans="1:10" x14ac:dyDescent="0.25">
      <c r="A64" t="s">
        <v>813</v>
      </c>
      <c r="B64" t="str">
        <f t="shared" si="1"/>
        <v>[[Illusory Script]]</v>
      </c>
      <c r="C64">
        <v>1</v>
      </c>
      <c r="D64" t="s">
        <v>751</v>
      </c>
      <c r="E64" t="s">
        <v>812</v>
      </c>
      <c r="F64" t="s">
        <v>729</v>
      </c>
      <c r="G64" t="s">
        <v>726</v>
      </c>
      <c r="H64" t="s">
        <v>792</v>
      </c>
      <c r="J64" t="s">
        <v>716</v>
      </c>
    </row>
    <row r="65" spans="1:10" x14ac:dyDescent="0.25">
      <c r="A65" t="s">
        <v>814</v>
      </c>
      <c r="B65" t="str">
        <f t="shared" ref="B65:B96" si="2">"[["&amp;A65&amp;"]]"</f>
        <v>[[Invisibility]]</v>
      </c>
      <c r="C65">
        <v>2</v>
      </c>
      <c r="D65" t="s">
        <v>751</v>
      </c>
      <c r="E65" t="s">
        <v>710</v>
      </c>
      <c r="F65" t="s">
        <v>729</v>
      </c>
      <c r="G65" t="s">
        <v>724</v>
      </c>
      <c r="H65" t="s">
        <v>713</v>
      </c>
      <c r="I65" t="s">
        <v>722</v>
      </c>
    </row>
    <row r="66" spans="1:10" x14ac:dyDescent="0.25">
      <c r="A66" t="s">
        <v>815</v>
      </c>
      <c r="B66" t="str">
        <f t="shared" si="2"/>
        <v>[[Knock]]</v>
      </c>
      <c r="C66">
        <v>2</v>
      </c>
      <c r="D66" t="s">
        <v>718</v>
      </c>
      <c r="E66" t="s">
        <v>710</v>
      </c>
      <c r="F66" t="s">
        <v>725</v>
      </c>
      <c r="G66" t="s">
        <v>730</v>
      </c>
      <c r="H66" t="s">
        <v>740</v>
      </c>
    </row>
    <row r="67" spans="1:10" x14ac:dyDescent="0.25">
      <c r="A67" t="s">
        <v>816</v>
      </c>
      <c r="B67" t="str">
        <f t="shared" si="2"/>
        <v>[[Legend Lore]]</v>
      </c>
      <c r="C67">
        <v>5</v>
      </c>
      <c r="D67" t="s">
        <v>745</v>
      </c>
      <c r="E67" t="s">
        <v>746</v>
      </c>
      <c r="F67" t="s">
        <v>738</v>
      </c>
      <c r="G67" t="s">
        <v>730</v>
      </c>
      <c r="H67" t="s">
        <v>713</v>
      </c>
    </row>
    <row r="68" spans="1:10" x14ac:dyDescent="0.25">
      <c r="A68" t="s">
        <v>817</v>
      </c>
      <c r="B68" t="str">
        <f t="shared" si="2"/>
        <v>[[Leomund's Tiny Hut]]</v>
      </c>
      <c r="C68">
        <v>3</v>
      </c>
      <c r="D68" t="s">
        <v>777</v>
      </c>
      <c r="E68" t="s">
        <v>812</v>
      </c>
      <c r="F68" t="s">
        <v>738</v>
      </c>
      <c r="G68" t="s">
        <v>728</v>
      </c>
      <c r="H68" t="s">
        <v>713</v>
      </c>
      <c r="J68" t="s">
        <v>716</v>
      </c>
    </row>
    <row r="69" spans="1:10" x14ac:dyDescent="0.25">
      <c r="A69" t="s">
        <v>818</v>
      </c>
      <c r="B69" t="str">
        <f t="shared" si="2"/>
        <v>[[Lesser Restoration]]</v>
      </c>
      <c r="C69">
        <v>2</v>
      </c>
      <c r="D69" t="s">
        <v>737</v>
      </c>
      <c r="E69" t="s">
        <v>804</v>
      </c>
      <c r="F69" t="s">
        <v>729</v>
      </c>
      <c r="G69" t="s">
        <v>730</v>
      </c>
      <c r="H69" t="s">
        <v>721</v>
      </c>
    </row>
    <row r="70" spans="1:10" x14ac:dyDescent="0.25">
      <c r="A70" t="s">
        <v>819</v>
      </c>
      <c r="B70" t="str">
        <f t="shared" si="2"/>
        <v>[[Light]]</v>
      </c>
      <c r="C70">
        <v>0</v>
      </c>
      <c r="D70" t="s">
        <v>777</v>
      </c>
      <c r="E70" t="s">
        <v>710</v>
      </c>
      <c r="F70" t="s">
        <v>729</v>
      </c>
      <c r="G70" t="s">
        <v>724</v>
      </c>
      <c r="H70" t="s">
        <v>781</v>
      </c>
    </row>
    <row r="71" spans="1:10" x14ac:dyDescent="0.25">
      <c r="A71" t="s">
        <v>820</v>
      </c>
      <c r="B71" t="str">
        <f t="shared" si="2"/>
        <v>[[Locate Animals or Plants]]</v>
      </c>
      <c r="C71">
        <v>2</v>
      </c>
      <c r="D71" t="s">
        <v>745</v>
      </c>
      <c r="E71" t="s">
        <v>715</v>
      </c>
      <c r="F71" t="s">
        <v>738</v>
      </c>
      <c r="G71" t="s">
        <v>730</v>
      </c>
      <c r="H71" t="s">
        <v>713</v>
      </c>
      <c r="J71" t="s">
        <v>716</v>
      </c>
    </row>
    <row r="72" spans="1:10" x14ac:dyDescent="0.25">
      <c r="A72" t="s">
        <v>821</v>
      </c>
      <c r="B72" t="str">
        <f t="shared" si="2"/>
        <v>[[Locate Creature]]</v>
      </c>
      <c r="C72">
        <v>4</v>
      </c>
      <c r="D72" t="s">
        <v>745</v>
      </c>
      <c r="E72" t="s">
        <v>710</v>
      </c>
      <c r="F72" t="s">
        <v>738</v>
      </c>
      <c r="G72" t="s">
        <v>724</v>
      </c>
      <c r="H72" t="s">
        <v>713</v>
      </c>
      <c r="I72" t="s">
        <v>722</v>
      </c>
    </row>
    <row r="73" spans="1:10" x14ac:dyDescent="0.25">
      <c r="A73" t="s">
        <v>822</v>
      </c>
      <c r="B73" t="str">
        <f t="shared" si="2"/>
        <v>[[Locate Object]]</v>
      </c>
      <c r="C73">
        <v>2</v>
      </c>
      <c r="D73" t="s">
        <v>745</v>
      </c>
      <c r="E73" t="s">
        <v>710</v>
      </c>
      <c r="F73" t="s">
        <v>738</v>
      </c>
      <c r="G73" t="s">
        <v>746</v>
      </c>
      <c r="H73" t="s">
        <v>713</v>
      </c>
      <c r="I73" t="s">
        <v>722</v>
      </c>
    </row>
    <row r="74" spans="1:10" x14ac:dyDescent="0.25">
      <c r="A74" t="s">
        <v>823</v>
      </c>
      <c r="B74" t="str">
        <f t="shared" si="2"/>
        <v>[[Longstrider]]</v>
      </c>
      <c r="C74">
        <v>1</v>
      </c>
      <c r="D74" t="s">
        <v>718</v>
      </c>
      <c r="E74" t="s">
        <v>710</v>
      </c>
      <c r="F74" t="s">
        <v>729</v>
      </c>
      <c r="G74" t="s">
        <v>724</v>
      </c>
      <c r="H74" t="s">
        <v>713</v>
      </c>
    </row>
    <row r="75" spans="1:10" x14ac:dyDescent="0.25">
      <c r="A75" t="s">
        <v>824</v>
      </c>
      <c r="B75" t="str">
        <f t="shared" si="2"/>
        <v>[[Mage Hand]]</v>
      </c>
      <c r="C75">
        <v>0</v>
      </c>
      <c r="D75" t="s">
        <v>749</v>
      </c>
      <c r="E75" t="s">
        <v>710</v>
      </c>
      <c r="F75" t="s">
        <v>711</v>
      </c>
      <c r="G75" t="s">
        <v>720</v>
      </c>
      <c r="H75" t="s">
        <v>721</v>
      </c>
    </row>
    <row r="76" spans="1:10" x14ac:dyDescent="0.25">
      <c r="A76" t="s">
        <v>825</v>
      </c>
      <c r="B76" t="str">
        <f t="shared" si="2"/>
        <v>[[Magic Mouth]]</v>
      </c>
      <c r="C76">
        <v>2</v>
      </c>
      <c r="D76" t="s">
        <v>751</v>
      </c>
      <c r="E76" t="s">
        <v>812</v>
      </c>
      <c r="F76" t="s">
        <v>711</v>
      </c>
      <c r="G76" t="s">
        <v>826</v>
      </c>
      <c r="H76" t="s">
        <v>713</v>
      </c>
      <c r="J76" t="s">
        <v>716</v>
      </c>
    </row>
    <row r="77" spans="1:10" x14ac:dyDescent="0.25">
      <c r="A77" t="s">
        <v>827</v>
      </c>
      <c r="B77" t="str">
        <f t="shared" si="2"/>
        <v>[[Major Image]]</v>
      </c>
      <c r="C77">
        <v>3</v>
      </c>
      <c r="D77" t="s">
        <v>751</v>
      </c>
      <c r="E77" t="s">
        <v>710</v>
      </c>
      <c r="F77" t="s">
        <v>719</v>
      </c>
      <c r="G77" t="s">
        <v>746</v>
      </c>
      <c r="H77" t="s">
        <v>713</v>
      </c>
      <c r="I77" t="s">
        <v>722</v>
      </c>
    </row>
    <row r="78" spans="1:10" x14ac:dyDescent="0.25">
      <c r="A78" t="s">
        <v>828</v>
      </c>
      <c r="B78" t="str">
        <f t="shared" si="2"/>
        <v>[[Mass Cure Wounds]]</v>
      </c>
      <c r="C78">
        <v>5</v>
      </c>
      <c r="D78" t="s">
        <v>737</v>
      </c>
      <c r="E78" t="s">
        <v>710</v>
      </c>
      <c r="F78" t="s">
        <v>725</v>
      </c>
      <c r="G78" t="s">
        <v>730</v>
      </c>
      <c r="H78" t="s">
        <v>721</v>
      </c>
    </row>
    <row r="79" spans="1:10" x14ac:dyDescent="0.25">
      <c r="A79" t="s">
        <v>829</v>
      </c>
      <c r="B79" t="str">
        <f t="shared" si="2"/>
        <v>[[Mass Healing Word]]</v>
      </c>
      <c r="C79">
        <v>3</v>
      </c>
      <c r="D79" t="s">
        <v>737</v>
      </c>
      <c r="E79" t="s">
        <v>804</v>
      </c>
      <c r="F79" t="s">
        <v>725</v>
      </c>
      <c r="G79" t="s">
        <v>730</v>
      </c>
      <c r="H79" t="s">
        <v>740</v>
      </c>
    </row>
    <row r="80" spans="1:10" x14ac:dyDescent="0.25">
      <c r="A80" t="s">
        <v>830</v>
      </c>
      <c r="B80" t="str">
        <f t="shared" si="2"/>
        <v>[[Mass Suggestion]]</v>
      </c>
      <c r="C80">
        <v>6</v>
      </c>
      <c r="D80" t="s">
        <v>709</v>
      </c>
      <c r="E80" t="s">
        <v>710</v>
      </c>
      <c r="F80" t="s">
        <v>725</v>
      </c>
      <c r="G80" t="s">
        <v>712</v>
      </c>
      <c r="H80" t="s">
        <v>781</v>
      </c>
    </row>
    <row r="81" spans="1:9" x14ac:dyDescent="0.25">
      <c r="A81" t="s">
        <v>831</v>
      </c>
      <c r="B81" t="str">
        <f t="shared" si="2"/>
        <v>[[Mending]]</v>
      </c>
      <c r="C81">
        <v>0</v>
      </c>
      <c r="D81" t="s">
        <v>718</v>
      </c>
      <c r="E81" t="s">
        <v>720</v>
      </c>
      <c r="F81" t="s">
        <v>729</v>
      </c>
      <c r="G81" t="s">
        <v>730</v>
      </c>
      <c r="H81" t="s">
        <v>713</v>
      </c>
    </row>
    <row r="82" spans="1:9" x14ac:dyDescent="0.25">
      <c r="A82" t="s">
        <v>832</v>
      </c>
      <c r="B82" t="str">
        <f t="shared" si="2"/>
        <v>[[Message]]</v>
      </c>
      <c r="C82">
        <v>0</v>
      </c>
      <c r="D82" t="s">
        <v>718</v>
      </c>
      <c r="E82" t="s">
        <v>710</v>
      </c>
      <c r="F82" t="s">
        <v>719</v>
      </c>
      <c r="G82" t="s">
        <v>833</v>
      </c>
      <c r="H82" t="s">
        <v>792</v>
      </c>
    </row>
    <row r="83" spans="1:9" x14ac:dyDescent="0.25">
      <c r="A83" t="s">
        <v>834</v>
      </c>
      <c r="B83" t="str">
        <f t="shared" si="2"/>
        <v>[[Mind Blank]]</v>
      </c>
      <c r="C83">
        <v>8</v>
      </c>
      <c r="D83" t="s">
        <v>737</v>
      </c>
      <c r="E83" t="s">
        <v>710</v>
      </c>
      <c r="F83" t="s">
        <v>729</v>
      </c>
      <c r="G83" t="s">
        <v>712</v>
      </c>
      <c r="H83" t="s">
        <v>721</v>
      </c>
    </row>
    <row r="84" spans="1:9" x14ac:dyDescent="0.25">
      <c r="A84" t="s">
        <v>835</v>
      </c>
      <c r="B84" t="str">
        <f t="shared" si="2"/>
        <v>[[Minor Illusion]]</v>
      </c>
      <c r="C84">
        <v>0</v>
      </c>
      <c r="D84" t="s">
        <v>751</v>
      </c>
      <c r="E84" t="s">
        <v>710</v>
      </c>
      <c r="F84" t="s">
        <v>711</v>
      </c>
      <c r="G84" t="s">
        <v>720</v>
      </c>
      <c r="H84" t="s">
        <v>792</v>
      </c>
    </row>
    <row r="85" spans="1:9" x14ac:dyDescent="0.25">
      <c r="A85" t="s">
        <v>836</v>
      </c>
      <c r="B85" t="str">
        <f t="shared" si="2"/>
        <v>[[Mirage Arcane]]</v>
      </c>
      <c r="C85">
        <v>7</v>
      </c>
      <c r="D85" t="s">
        <v>751</v>
      </c>
      <c r="E85" t="s">
        <v>746</v>
      </c>
      <c r="F85" t="s">
        <v>837</v>
      </c>
      <c r="G85" t="s">
        <v>726</v>
      </c>
      <c r="H85" t="s">
        <v>721</v>
      </c>
    </row>
    <row r="86" spans="1:9" x14ac:dyDescent="0.25">
      <c r="A86" t="s">
        <v>838</v>
      </c>
      <c r="B86" t="str">
        <f t="shared" si="2"/>
        <v>[[Mirror Image]]</v>
      </c>
      <c r="C86">
        <v>2</v>
      </c>
      <c r="D86" t="s">
        <v>751</v>
      </c>
      <c r="E86" t="s">
        <v>710</v>
      </c>
      <c r="F86" t="s">
        <v>738</v>
      </c>
      <c r="G86" t="s">
        <v>720</v>
      </c>
      <c r="H86" t="s">
        <v>721</v>
      </c>
    </row>
    <row r="87" spans="1:9" x14ac:dyDescent="0.25">
      <c r="A87" t="s">
        <v>839</v>
      </c>
      <c r="B87" t="str">
        <f t="shared" si="2"/>
        <v>[[Mislead]]</v>
      </c>
      <c r="C87">
        <v>5</v>
      </c>
      <c r="D87" t="s">
        <v>751</v>
      </c>
      <c r="E87" t="s">
        <v>710</v>
      </c>
      <c r="F87" t="s">
        <v>738</v>
      </c>
      <c r="G87" t="s">
        <v>724</v>
      </c>
      <c r="H87" t="s">
        <v>840</v>
      </c>
      <c r="I87" t="s">
        <v>722</v>
      </c>
    </row>
    <row r="88" spans="1:9" x14ac:dyDescent="0.25">
      <c r="A88" t="s">
        <v>841</v>
      </c>
      <c r="B88" t="str">
        <f t="shared" si="2"/>
        <v>[[Modify Memory]]</v>
      </c>
      <c r="C88">
        <v>5</v>
      </c>
      <c r="D88" t="s">
        <v>709</v>
      </c>
      <c r="E88" t="s">
        <v>710</v>
      </c>
      <c r="F88" t="s">
        <v>711</v>
      </c>
      <c r="G88" t="s">
        <v>720</v>
      </c>
      <c r="H88" t="s">
        <v>721</v>
      </c>
      <c r="I88" t="s">
        <v>722</v>
      </c>
    </row>
    <row r="89" spans="1:9" x14ac:dyDescent="0.25">
      <c r="A89" t="s">
        <v>842</v>
      </c>
      <c r="B89" t="str">
        <f t="shared" si="2"/>
        <v>[[Mordenkainen's Magnificent Mansion]]</v>
      </c>
      <c r="C89">
        <v>7</v>
      </c>
      <c r="D89" t="s">
        <v>749</v>
      </c>
      <c r="E89" t="s">
        <v>720</v>
      </c>
      <c r="F89" t="s">
        <v>802</v>
      </c>
      <c r="G89" t="s">
        <v>712</v>
      </c>
      <c r="H89" t="s">
        <v>713</v>
      </c>
    </row>
    <row r="90" spans="1:9" x14ac:dyDescent="0.25">
      <c r="A90" t="s">
        <v>843</v>
      </c>
      <c r="B90" t="str">
        <f t="shared" si="2"/>
        <v>[[Mordenkainen's Sword]]</v>
      </c>
      <c r="C90">
        <v>7</v>
      </c>
      <c r="D90" t="s">
        <v>777</v>
      </c>
      <c r="E90" t="s">
        <v>710</v>
      </c>
      <c r="F90" t="s">
        <v>756</v>
      </c>
      <c r="G90" t="s">
        <v>720</v>
      </c>
      <c r="H90" t="s">
        <v>713</v>
      </c>
      <c r="I90" t="s">
        <v>722</v>
      </c>
    </row>
    <row r="91" spans="1:9" x14ac:dyDescent="0.25">
      <c r="A91" t="s">
        <v>844</v>
      </c>
      <c r="B91" t="str">
        <f t="shared" si="2"/>
        <v>[[Nondetection]]</v>
      </c>
      <c r="C91">
        <v>3</v>
      </c>
      <c r="D91" t="s">
        <v>737</v>
      </c>
      <c r="E91" t="s">
        <v>710</v>
      </c>
      <c r="F91" t="s">
        <v>729</v>
      </c>
      <c r="G91" t="s">
        <v>728</v>
      </c>
      <c r="H91" t="s">
        <v>713</v>
      </c>
    </row>
    <row r="92" spans="1:9" x14ac:dyDescent="0.25">
      <c r="A92" t="s">
        <v>845</v>
      </c>
      <c r="B92" t="str">
        <f t="shared" si="2"/>
        <v>[[Otto's Irresistible Dance]]</v>
      </c>
      <c r="C92">
        <v>6</v>
      </c>
      <c r="D92" t="s">
        <v>709</v>
      </c>
      <c r="E92" t="s">
        <v>710</v>
      </c>
      <c r="F92" t="s">
        <v>711</v>
      </c>
      <c r="G92" t="s">
        <v>720</v>
      </c>
      <c r="H92" t="s">
        <v>740</v>
      </c>
      <c r="I92" t="s">
        <v>722</v>
      </c>
    </row>
    <row r="93" spans="1:9" x14ac:dyDescent="0.25">
      <c r="A93" t="s">
        <v>846</v>
      </c>
      <c r="B93" t="str">
        <f t="shared" si="2"/>
        <v>[[Phantasmal Force]]</v>
      </c>
      <c r="C93">
        <v>2</v>
      </c>
      <c r="D93" t="s">
        <v>751</v>
      </c>
      <c r="E93" t="s">
        <v>710</v>
      </c>
      <c r="F93" t="s">
        <v>725</v>
      </c>
      <c r="G93" t="s">
        <v>720</v>
      </c>
      <c r="H93" t="s">
        <v>713</v>
      </c>
      <c r="I93" t="s">
        <v>722</v>
      </c>
    </row>
    <row r="94" spans="1:9" x14ac:dyDescent="0.25">
      <c r="A94" t="s">
        <v>847</v>
      </c>
      <c r="B94" t="str">
        <f t="shared" si="2"/>
        <v>[[Phantasmal Killer]]</v>
      </c>
      <c r="C94">
        <v>4</v>
      </c>
      <c r="D94" t="s">
        <v>751</v>
      </c>
      <c r="E94" t="s">
        <v>710</v>
      </c>
      <c r="F94" t="s">
        <v>719</v>
      </c>
      <c r="G94" t="s">
        <v>720</v>
      </c>
      <c r="H94" t="s">
        <v>721</v>
      </c>
      <c r="I94" t="s">
        <v>722</v>
      </c>
    </row>
    <row r="95" spans="1:9" x14ac:dyDescent="0.25">
      <c r="A95" t="s">
        <v>848</v>
      </c>
      <c r="B95" t="str">
        <f t="shared" si="2"/>
        <v>[[Planar Binding]]</v>
      </c>
      <c r="C95">
        <v>5</v>
      </c>
      <c r="D95" t="s">
        <v>737</v>
      </c>
      <c r="E95" t="s">
        <v>724</v>
      </c>
      <c r="F95" t="s">
        <v>725</v>
      </c>
      <c r="G95" t="s">
        <v>712</v>
      </c>
      <c r="H95" t="s">
        <v>713</v>
      </c>
    </row>
    <row r="96" spans="1:9" x14ac:dyDescent="0.25">
      <c r="A96" t="s">
        <v>849</v>
      </c>
      <c r="B96" t="str">
        <f t="shared" si="2"/>
        <v>[[Plant Growth]]</v>
      </c>
      <c r="C96">
        <v>3</v>
      </c>
      <c r="D96" t="s">
        <v>718</v>
      </c>
      <c r="E96" t="s">
        <v>850</v>
      </c>
      <c r="F96" t="s">
        <v>733</v>
      </c>
      <c r="G96" t="s">
        <v>730</v>
      </c>
      <c r="H96" t="s">
        <v>721</v>
      </c>
    </row>
    <row r="97" spans="1:10" x14ac:dyDescent="0.25">
      <c r="A97" t="s">
        <v>851</v>
      </c>
      <c r="B97" t="str">
        <f t="shared" ref="B97:B128" si="3">"[["&amp;A97&amp;"]]"</f>
        <v>[[Polymorph]]</v>
      </c>
      <c r="C97">
        <v>4</v>
      </c>
      <c r="D97" t="s">
        <v>718</v>
      </c>
      <c r="E97" t="s">
        <v>710</v>
      </c>
      <c r="F97" t="s">
        <v>725</v>
      </c>
      <c r="G97" t="s">
        <v>724</v>
      </c>
      <c r="H97" t="s">
        <v>713</v>
      </c>
      <c r="I97" t="s">
        <v>722</v>
      </c>
    </row>
    <row r="98" spans="1:10" x14ac:dyDescent="0.25">
      <c r="A98" t="s">
        <v>852</v>
      </c>
      <c r="B98" t="str">
        <f t="shared" si="3"/>
        <v>[[Power Word Fortify]]</v>
      </c>
      <c r="C98">
        <v>7</v>
      </c>
      <c r="D98" t="s">
        <v>709</v>
      </c>
      <c r="E98" t="s">
        <v>710</v>
      </c>
      <c r="F98" t="s">
        <v>725</v>
      </c>
      <c r="G98" t="s">
        <v>730</v>
      </c>
      <c r="H98" t="s">
        <v>740</v>
      </c>
    </row>
    <row r="99" spans="1:10" x14ac:dyDescent="0.25">
      <c r="A99" t="s">
        <v>853</v>
      </c>
      <c r="B99" t="str">
        <f t="shared" si="3"/>
        <v>[[Power Word Heal]]</v>
      </c>
      <c r="C99">
        <v>9</v>
      </c>
      <c r="D99" t="s">
        <v>709</v>
      </c>
      <c r="E99" t="s">
        <v>710</v>
      </c>
      <c r="F99" t="s">
        <v>725</v>
      </c>
      <c r="G99" t="s">
        <v>730</v>
      </c>
      <c r="H99" t="s">
        <v>740</v>
      </c>
    </row>
    <row r="100" spans="1:10" x14ac:dyDescent="0.25">
      <c r="A100" t="s">
        <v>854</v>
      </c>
      <c r="B100" t="str">
        <f t="shared" si="3"/>
        <v>[[Power Word Kill]]</v>
      </c>
      <c r="C100">
        <v>9</v>
      </c>
      <c r="D100" t="s">
        <v>709</v>
      </c>
      <c r="E100" t="s">
        <v>710</v>
      </c>
      <c r="F100" t="s">
        <v>725</v>
      </c>
      <c r="G100" t="s">
        <v>730</v>
      </c>
      <c r="H100" t="s">
        <v>740</v>
      </c>
    </row>
    <row r="101" spans="1:10" x14ac:dyDescent="0.25">
      <c r="A101" t="s">
        <v>855</v>
      </c>
      <c r="B101" t="str">
        <f t="shared" si="3"/>
        <v>[[Power Word Stun]]</v>
      </c>
      <c r="C101">
        <v>8</v>
      </c>
      <c r="D101" t="s">
        <v>709</v>
      </c>
      <c r="E101" t="s">
        <v>710</v>
      </c>
      <c r="F101" t="s">
        <v>725</v>
      </c>
      <c r="G101" t="s">
        <v>730</v>
      </c>
      <c r="H101" t="s">
        <v>740</v>
      </c>
    </row>
    <row r="102" spans="1:10" x14ac:dyDescent="0.25">
      <c r="A102" t="s">
        <v>856</v>
      </c>
      <c r="B102" t="str">
        <f t="shared" si="3"/>
        <v>[[Prestidigitation]]</v>
      </c>
      <c r="C102">
        <v>0</v>
      </c>
      <c r="D102" t="s">
        <v>718</v>
      </c>
      <c r="E102" t="s">
        <v>710</v>
      </c>
      <c r="F102" t="s">
        <v>791</v>
      </c>
      <c r="G102" t="s">
        <v>724</v>
      </c>
      <c r="H102" t="s">
        <v>721</v>
      </c>
    </row>
    <row r="103" spans="1:10" x14ac:dyDescent="0.25">
      <c r="A103" t="s">
        <v>857</v>
      </c>
      <c r="B103" t="str">
        <f t="shared" si="3"/>
        <v>[[Prismatic Spray]]</v>
      </c>
      <c r="C103">
        <v>7</v>
      </c>
      <c r="D103" t="s">
        <v>777</v>
      </c>
      <c r="E103" t="s">
        <v>710</v>
      </c>
      <c r="F103" t="s">
        <v>738</v>
      </c>
      <c r="G103" t="s">
        <v>730</v>
      </c>
      <c r="H103" t="s">
        <v>721</v>
      </c>
    </row>
    <row r="104" spans="1:10" x14ac:dyDescent="0.25">
      <c r="A104" t="s">
        <v>858</v>
      </c>
      <c r="B104" t="str">
        <f t="shared" si="3"/>
        <v>[[Prismatic Wall]]</v>
      </c>
      <c r="C104">
        <v>9</v>
      </c>
      <c r="D104" t="s">
        <v>737</v>
      </c>
      <c r="E104" t="s">
        <v>710</v>
      </c>
      <c r="F104" t="s">
        <v>725</v>
      </c>
      <c r="G104" t="s">
        <v>746</v>
      </c>
      <c r="H104" t="s">
        <v>721</v>
      </c>
    </row>
    <row r="105" spans="1:10" x14ac:dyDescent="0.25">
      <c r="A105" t="s">
        <v>859</v>
      </c>
      <c r="B105" t="str">
        <f t="shared" si="3"/>
        <v>[[Programmed Illusion]]</v>
      </c>
      <c r="C105">
        <v>6</v>
      </c>
      <c r="D105" t="s">
        <v>751</v>
      </c>
      <c r="E105" t="s">
        <v>710</v>
      </c>
      <c r="F105" t="s">
        <v>719</v>
      </c>
      <c r="G105" t="s">
        <v>826</v>
      </c>
      <c r="H105" t="s">
        <v>713</v>
      </c>
    </row>
    <row r="106" spans="1:10" x14ac:dyDescent="0.25">
      <c r="A106" t="s">
        <v>860</v>
      </c>
      <c r="B106" t="str">
        <f t="shared" si="3"/>
        <v>[[Project Image]]</v>
      </c>
      <c r="C106">
        <v>7</v>
      </c>
      <c r="D106" t="s">
        <v>751</v>
      </c>
      <c r="E106" t="s">
        <v>710</v>
      </c>
      <c r="F106" t="s">
        <v>861</v>
      </c>
      <c r="G106" t="s">
        <v>784</v>
      </c>
      <c r="H106" t="s">
        <v>713</v>
      </c>
      <c r="I106" t="s">
        <v>722</v>
      </c>
    </row>
    <row r="107" spans="1:10" x14ac:dyDescent="0.25">
      <c r="A107" t="s">
        <v>862</v>
      </c>
      <c r="B107" t="str">
        <f t="shared" si="3"/>
        <v>[[Raise Dead]]</v>
      </c>
      <c r="C107">
        <v>5</v>
      </c>
      <c r="D107" t="s">
        <v>735</v>
      </c>
      <c r="E107" t="s">
        <v>724</v>
      </c>
      <c r="F107" t="s">
        <v>729</v>
      </c>
      <c r="G107" t="s">
        <v>730</v>
      </c>
      <c r="H107" t="s">
        <v>713</v>
      </c>
    </row>
    <row r="108" spans="1:10" x14ac:dyDescent="0.25">
      <c r="A108" t="s">
        <v>863</v>
      </c>
      <c r="B108" t="str">
        <f t="shared" si="3"/>
        <v>[[Rary's Telepathic Bond]]</v>
      </c>
      <c r="C108">
        <v>5</v>
      </c>
      <c r="D108" t="s">
        <v>745</v>
      </c>
      <c r="E108" t="s">
        <v>715</v>
      </c>
      <c r="F108" t="s">
        <v>711</v>
      </c>
      <c r="G108" t="s">
        <v>724</v>
      </c>
      <c r="H108" t="s">
        <v>713</v>
      </c>
      <c r="J108" t="s">
        <v>716</v>
      </c>
    </row>
    <row r="109" spans="1:10" x14ac:dyDescent="0.25">
      <c r="A109" t="s">
        <v>864</v>
      </c>
      <c r="B109" t="str">
        <f t="shared" si="3"/>
        <v>[[Regenerate]]</v>
      </c>
      <c r="C109">
        <v>7</v>
      </c>
      <c r="D109" t="s">
        <v>718</v>
      </c>
      <c r="E109" t="s">
        <v>720</v>
      </c>
      <c r="F109" t="s">
        <v>729</v>
      </c>
      <c r="G109" t="s">
        <v>724</v>
      </c>
      <c r="H109" t="s">
        <v>713</v>
      </c>
    </row>
    <row r="110" spans="1:10" x14ac:dyDescent="0.25">
      <c r="A110" t="s">
        <v>865</v>
      </c>
      <c r="B110" t="str">
        <f t="shared" si="3"/>
        <v>[[Resurrection]]</v>
      </c>
      <c r="C110">
        <v>7</v>
      </c>
      <c r="D110" t="s">
        <v>735</v>
      </c>
      <c r="E110" t="s">
        <v>724</v>
      </c>
      <c r="F110" t="s">
        <v>729</v>
      </c>
      <c r="G110" t="s">
        <v>730</v>
      </c>
      <c r="H110" t="s">
        <v>713</v>
      </c>
    </row>
    <row r="111" spans="1:10" x14ac:dyDescent="0.25">
      <c r="A111" t="s">
        <v>866</v>
      </c>
      <c r="B111" t="str">
        <f t="shared" si="3"/>
        <v>[[Scrying]]</v>
      </c>
      <c r="C111">
        <v>5</v>
      </c>
      <c r="D111" t="s">
        <v>745</v>
      </c>
      <c r="E111" t="s">
        <v>746</v>
      </c>
      <c r="F111" t="s">
        <v>738</v>
      </c>
      <c r="G111" t="s">
        <v>746</v>
      </c>
      <c r="H111" t="s">
        <v>713</v>
      </c>
      <c r="I111" t="s">
        <v>722</v>
      </c>
    </row>
    <row r="112" spans="1:10" x14ac:dyDescent="0.25">
      <c r="A112" t="s">
        <v>867</v>
      </c>
      <c r="B112" t="str">
        <f t="shared" si="3"/>
        <v>[[See Invisibility]]</v>
      </c>
      <c r="C112">
        <v>2</v>
      </c>
      <c r="D112" t="s">
        <v>745</v>
      </c>
      <c r="E112" t="s">
        <v>710</v>
      </c>
      <c r="F112" t="s">
        <v>738</v>
      </c>
      <c r="G112" t="s">
        <v>724</v>
      </c>
      <c r="H112" t="s">
        <v>713</v>
      </c>
    </row>
    <row r="113" spans="1:10" x14ac:dyDescent="0.25">
      <c r="A113" t="s">
        <v>868</v>
      </c>
      <c r="B113" t="str">
        <f t="shared" si="3"/>
        <v>[[Seeming]]</v>
      </c>
      <c r="C113">
        <v>5</v>
      </c>
      <c r="D113" t="s">
        <v>751</v>
      </c>
      <c r="E113" t="s">
        <v>710</v>
      </c>
      <c r="F113" t="s">
        <v>711</v>
      </c>
      <c r="G113" t="s">
        <v>728</v>
      </c>
      <c r="H113" t="s">
        <v>721</v>
      </c>
    </row>
    <row r="114" spans="1:10" x14ac:dyDescent="0.25">
      <c r="A114" t="s">
        <v>869</v>
      </c>
      <c r="B114" t="str">
        <f t="shared" si="3"/>
        <v>[[Sending]]</v>
      </c>
      <c r="C114">
        <v>3</v>
      </c>
      <c r="D114" t="s">
        <v>745</v>
      </c>
      <c r="E114" t="s">
        <v>710</v>
      </c>
      <c r="F114" t="s">
        <v>870</v>
      </c>
      <c r="G114" t="s">
        <v>730</v>
      </c>
      <c r="H114" t="s">
        <v>713</v>
      </c>
    </row>
    <row r="115" spans="1:10" x14ac:dyDescent="0.25">
      <c r="A115" t="s">
        <v>871</v>
      </c>
      <c r="B115" t="str">
        <f t="shared" si="3"/>
        <v>[[Shatter]]</v>
      </c>
      <c r="C115">
        <v>2</v>
      </c>
      <c r="D115" t="s">
        <v>777</v>
      </c>
      <c r="E115" t="s">
        <v>710</v>
      </c>
      <c r="F115" t="s">
        <v>725</v>
      </c>
      <c r="G115" t="s">
        <v>730</v>
      </c>
      <c r="H115" t="s">
        <v>713</v>
      </c>
    </row>
    <row r="116" spans="1:10" x14ac:dyDescent="0.25">
      <c r="A116" t="s">
        <v>872</v>
      </c>
      <c r="B116" t="str">
        <f t="shared" si="3"/>
        <v>[[Silence]]</v>
      </c>
      <c r="C116">
        <v>2</v>
      </c>
      <c r="D116" t="s">
        <v>751</v>
      </c>
      <c r="E116" t="s">
        <v>715</v>
      </c>
      <c r="F116" t="s">
        <v>719</v>
      </c>
      <c r="G116" t="s">
        <v>746</v>
      </c>
      <c r="H116" t="s">
        <v>721</v>
      </c>
      <c r="I116" t="s">
        <v>722</v>
      </c>
      <c r="J116" t="s">
        <v>716</v>
      </c>
    </row>
    <row r="117" spans="1:10" x14ac:dyDescent="0.25">
      <c r="A117" t="s">
        <v>873</v>
      </c>
      <c r="B117" t="str">
        <f t="shared" si="3"/>
        <v>[[Silent Image]]</v>
      </c>
      <c r="C117">
        <v>1</v>
      </c>
      <c r="D117" t="s">
        <v>751</v>
      </c>
      <c r="E117" t="s">
        <v>710</v>
      </c>
      <c r="F117" t="s">
        <v>725</v>
      </c>
      <c r="G117" t="s">
        <v>746</v>
      </c>
      <c r="H117" t="s">
        <v>713</v>
      </c>
      <c r="I117" t="s">
        <v>722</v>
      </c>
    </row>
    <row r="118" spans="1:10" x14ac:dyDescent="0.25">
      <c r="A118" t="s">
        <v>874</v>
      </c>
      <c r="B118" t="str">
        <f t="shared" si="3"/>
        <v>[[Sleep]]</v>
      </c>
      <c r="C118">
        <v>1</v>
      </c>
      <c r="D118" t="s">
        <v>709</v>
      </c>
      <c r="E118" t="s">
        <v>710</v>
      </c>
      <c r="F118" t="s">
        <v>725</v>
      </c>
      <c r="G118" t="s">
        <v>720</v>
      </c>
      <c r="H118" t="s">
        <v>713</v>
      </c>
      <c r="I118" t="s">
        <v>722</v>
      </c>
    </row>
    <row r="119" spans="1:10" x14ac:dyDescent="0.25">
      <c r="A119" t="s">
        <v>875</v>
      </c>
      <c r="B119" t="str">
        <f t="shared" si="3"/>
        <v>[[Slow]]</v>
      </c>
      <c r="C119">
        <v>3</v>
      </c>
      <c r="D119" t="s">
        <v>718</v>
      </c>
      <c r="E119" t="s">
        <v>710</v>
      </c>
      <c r="F119" t="s">
        <v>719</v>
      </c>
      <c r="G119" t="s">
        <v>720</v>
      </c>
      <c r="H119" t="s">
        <v>713</v>
      </c>
      <c r="I119" t="s">
        <v>722</v>
      </c>
    </row>
    <row r="120" spans="1:10" x14ac:dyDescent="0.25">
      <c r="A120" t="s">
        <v>876</v>
      </c>
      <c r="B120" t="str">
        <f t="shared" si="3"/>
        <v>[[Speak with Animals]]</v>
      </c>
      <c r="C120">
        <v>1</v>
      </c>
      <c r="D120" t="s">
        <v>745</v>
      </c>
      <c r="E120" t="s">
        <v>715</v>
      </c>
      <c r="F120" t="s">
        <v>738</v>
      </c>
      <c r="G120" t="s">
        <v>746</v>
      </c>
      <c r="H120" t="s">
        <v>721</v>
      </c>
      <c r="J120" t="s">
        <v>716</v>
      </c>
    </row>
    <row r="121" spans="1:10" x14ac:dyDescent="0.25">
      <c r="A121" t="s">
        <v>877</v>
      </c>
      <c r="B121" t="str">
        <f t="shared" si="3"/>
        <v>[[Speak with Dead]]</v>
      </c>
      <c r="C121">
        <v>3</v>
      </c>
      <c r="D121" t="s">
        <v>735</v>
      </c>
      <c r="E121" t="s">
        <v>710</v>
      </c>
      <c r="F121" t="s">
        <v>791</v>
      </c>
      <c r="G121" t="s">
        <v>746</v>
      </c>
      <c r="H121" t="s">
        <v>713</v>
      </c>
    </row>
    <row r="122" spans="1:10" x14ac:dyDescent="0.25">
      <c r="A122" t="s">
        <v>878</v>
      </c>
      <c r="B122" t="str">
        <f t="shared" si="3"/>
        <v>[[Speak with Plants]]</v>
      </c>
      <c r="C122">
        <v>3</v>
      </c>
      <c r="D122" t="s">
        <v>718</v>
      </c>
      <c r="E122" t="s">
        <v>710</v>
      </c>
      <c r="F122" t="s">
        <v>738</v>
      </c>
      <c r="G122" t="s">
        <v>746</v>
      </c>
      <c r="H122" t="s">
        <v>721</v>
      </c>
    </row>
    <row r="123" spans="1:10" x14ac:dyDescent="0.25">
      <c r="A123" t="s">
        <v>879</v>
      </c>
      <c r="B123" t="str">
        <f t="shared" si="3"/>
        <v>[[Starry Wisp]]</v>
      </c>
      <c r="C123">
        <v>0</v>
      </c>
      <c r="D123" t="s">
        <v>777</v>
      </c>
      <c r="E123" t="s">
        <v>710</v>
      </c>
      <c r="F123" t="s">
        <v>725</v>
      </c>
      <c r="G123" t="s">
        <v>730</v>
      </c>
      <c r="H123" t="s">
        <v>721</v>
      </c>
    </row>
    <row r="124" spans="1:10" x14ac:dyDescent="0.25">
      <c r="A124" t="s">
        <v>880</v>
      </c>
      <c r="B124" t="str">
        <f t="shared" si="3"/>
        <v>[[Stinking Cloud]]</v>
      </c>
      <c r="C124">
        <v>3</v>
      </c>
      <c r="D124" t="s">
        <v>749</v>
      </c>
      <c r="E124" t="s">
        <v>710</v>
      </c>
      <c r="F124" t="s">
        <v>756</v>
      </c>
      <c r="G124" t="s">
        <v>720</v>
      </c>
      <c r="H124" t="s">
        <v>713</v>
      </c>
      <c r="I124" t="s">
        <v>722</v>
      </c>
    </row>
    <row r="125" spans="1:10" x14ac:dyDescent="0.25">
      <c r="A125" t="s">
        <v>881</v>
      </c>
      <c r="B125" t="str">
        <f t="shared" si="3"/>
        <v>[[Suggestion]]</v>
      </c>
      <c r="C125">
        <v>2</v>
      </c>
      <c r="D125" t="s">
        <v>709</v>
      </c>
      <c r="E125" t="s">
        <v>710</v>
      </c>
      <c r="F125" t="s">
        <v>711</v>
      </c>
      <c r="G125" t="s">
        <v>728</v>
      </c>
      <c r="H125" t="s">
        <v>781</v>
      </c>
      <c r="I125" t="s">
        <v>722</v>
      </c>
    </row>
    <row r="126" spans="1:10" x14ac:dyDescent="0.25">
      <c r="A126" t="s">
        <v>882</v>
      </c>
      <c r="B126" t="str">
        <f t="shared" si="3"/>
        <v>[[Symbol]]</v>
      </c>
      <c r="C126">
        <v>7</v>
      </c>
      <c r="D126" t="s">
        <v>737</v>
      </c>
      <c r="E126" t="s">
        <v>720</v>
      </c>
      <c r="F126" t="s">
        <v>729</v>
      </c>
      <c r="G126" t="s">
        <v>797</v>
      </c>
      <c r="H126" t="s">
        <v>713</v>
      </c>
    </row>
    <row r="127" spans="1:10" x14ac:dyDescent="0.25">
      <c r="A127" t="s">
        <v>883</v>
      </c>
      <c r="B127" t="str">
        <f t="shared" si="3"/>
        <v>[[Synaptic Static]]</v>
      </c>
      <c r="C127">
        <v>5</v>
      </c>
      <c r="D127" t="s">
        <v>709</v>
      </c>
      <c r="E127" t="s">
        <v>710</v>
      </c>
      <c r="F127" t="s">
        <v>719</v>
      </c>
      <c r="G127" t="s">
        <v>730</v>
      </c>
      <c r="H127" t="s">
        <v>721</v>
      </c>
    </row>
    <row r="128" spans="1:10" x14ac:dyDescent="0.25">
      <c r="A128" t="s">
        <v>884</v>
      </c>
      <c r="B128" t="str">
        <f t="shared" si="3"/>
        <v>[[Tasha's Hideous Laughter]]</v>
      </c>
      <c r="C128">
        <v>1</v>
      </c>
      <c r="D128" t="s">
        <v>709</v>
      </c>
      <c r="E128" t="s">
        <v>710</v>
      </c>
      <c r="F128" t="s">
        <v>711</v>
      </c>
      <c r="G128" t="s">
        <v>720</v>
      </c>
      <c r="H128" t="s">
        <v>713</v>
      </c>
      <c r="I128" t="s">
        <v>722</v>
      </c>
    </row>
    <row r="129" spans="1:10" x14ac:dyDescent="0.25">
      <c r="A129" t="s">
        <v>885</v>
      </c>
      <c r="B129" t="str">
        <f t="shared" ref="B129:B140" si="4">"[["&amp;A129&amp;"]]"</f>
        <v>[[Teleport]]</v>
      </c>
      <c r="C129">
        <v>7</v>
      </c>
      <c r="D129" t="s">
        <v>749</v>
      </c>
      <c r="E129" t="s">
        <v>710</v>
      </c>
      <c r="F129" t="s">
        <v>791</v>
      </c>
      <c r="G129" t="s">
        <v>730</v>
      </c>
      <c r="H129" t="s">
        <v>740</v>
      </c>
    </row>
    <row r="130" spans="1:10" x14ac:dyDescent="0.25">
      <c r="A130" t="s">
        <v>886</v>
      </c>
      <c r="B130" t="str">
        <f t="shared" si="4"/>
        <v>[[Teleportation Circle]]</v>
      </c>
      <c r="C130">
        <v>5</v>
      </c>
      <c r="D130" t="s">
        <v>749</v>
      </c>
      <c r="E130" t="s">
        <v>720</v>
      </c>
      <c r="F130" t="s">
        <v>791</v>
      </c>
      <c r="G130" t="s">
        <v>833</v>
      </c>
      <c r="H130" t="s">
        <v>781</v>
      </c>
    </row>
    <row r="131" spans="1:10" x14ac:dyDescent="0.25">
      <c r="A131" t="s">
        <v>887</v>
      </c>
      <c r="B131" t="str">
        <f t="shared" si="4"/>
        <v>[[Thunderclap]]</v>
      </c>
      <c r="C131">
        <v>0</v>
      </c>
      <c r="D131" t="s">
        <v>777</v>
      </c>
      <c r="E131" t="s">
        <v>710</v>
      </c>
      <c r="F131" t="s">
        <v>738</v>
      </c>
      <c r="G131" t="s">
        <v>730</v>
      </c>
      <c r="H131" t="s">
        <v>840</v>
      </c>
    </row>
    <row r="132" spans="1:10" x14ac:dyDescent="0.25">
      <c r="A132" t="s">
        <v>888</v>
      </c>
      <c r="B132" t="str">
        <f t="shared" si="4"/>
        <v>[[Thunderwave]]</v>
      </c>
      <c r="C132">
        <v>1</v>
      </c>
      <c r="D132" t="s">
        <v>777</v>
      </c>
      <c r="E132" t="s">
        <v>710</v>
      </c>
      <c r="F132" t="s">
        <v>738</v>
      </c>
      <c r="G132" t="s">
        <v>730</v>
      </c>
      <c r="H132" t="s">
        <v>721</v>
      </c>
    </row>
    <row r="133" spans="1:10" x14ac:dyDescent="0.25">
      <c r="A133" t="s">
        <v>889</v>
      </c>
      <c r="B133" t="str">
        <f t="shared" si="4"/>
        <v>[[Tongues]]</v>
      </c>
      <c r="C133">
        <v>3</v>
      </c>
      <c r="D133" t="s">
        <v>745</v>
      </c>
      <c r="E133" t="s">
        <v>710</v>
      </c>
      <c r="F133" t="s">
        <v>729</v>
      </c>
      <c r="G133" t="s">
        <v>724</v>
      </c>
      <c r="H133" t="s">
        <v>781</v>
      </c>
    </row>
    <row r="134" spans="1:10" x14ac:dyDescent="0.25">
      <c r="A134" t="s">
        <v>890</v>
      </c>
      <c r="B134" t="str">
        <f t="shared" si="4"/>
        <v>[[True Polymorph]]</v>
      </c>
      <c r="C134">
        <v>9</v>
      </c>
      <c r="D134" t="s">
        <v>718</v>
      </c>
      <c r="E134" t="s">
        <v>710</v>
      </c>
      <c r="F134" t="s">
        <v>711</v>
      </c>
      <c r="G134" t="s">
        <v>724</v>
      </c>
      <c r="H134" t="s">
        <v>713</v>
      </c>
      <c r="I134" t="s">
        <v>722</v>
      </c>
    </row>
    <row r="135" spans="1:10" x14ac:dyDescent="0.25">
      <c r="A135" t="s">
        <v>891</v>
      </c>
      <c r="B135" t="str">
        <f t="shared" si="4"/>
        <v>[[True Seeing]]</v>
      </c>
      <c r="C135">
        <v>6</v>
      </c>
      <c r="D135" t="s">
        <v>745</v>
      </c>
      <c r="E135" t="s">
        <v>710</v>
      </c>
      <c r="F135" t="s">
        <v>729</v>
      </c>
      <c r="G135" t="s">
        <v>724</v>
      </c>
      <c r="H135" t="s">
        <v>713</v>
      </c>
    </row>
    <row r="136" spans="1:10" x14ac:dyDescent="0.25">
      <c r="A136" t="s">
        <v>892</v>
      </c>
      <c r="B136" t="str">
        <f t="shared" si="4"/>
        <v>[[True Strike]]</v>
      </c>
      <c r="C136">
        <v>0</v>
      </c>
      <c r="D136" t="s">
        <v>745</v>
      </c>
      <c r="E136" t="s">
        <v>710</v>
      </c>
      <c r="F136" t="s">
        <v>738</v>
      </c>
      <c r="G136" t="s">
        <v>730</v>
      </c>
      <c r="H136" t="s">
        <v>792</v>
      </c>
    </row>
    <row r="137" spans="1:10" x14ac:dyDescent="0.25">
      <c r="A137" t="s">
        <v>893</v>
      </c>
      <c r="B137" t="str">
        <f t="shared" si="4"/>
        <v>[[Unseen Servant]]</v>
      </c>
      <c r="C137">
        <v>1</v>
      </c>
      <c r="D137" t="s">
        <v>749</v>
      </c>
      <c r="E137" t="s">
        <v>715</v>
      </c>
      <c r="F137" t="s">
        <v>725</v>
      </c>
      <c r="G137" t="s">
        <v>724</v>
      </c>
      <c r="H137" t="s">
        <v>713</v>
      </c>
      <c r="J137" t="s">
        <v>716</v>
      </c>
    </row>
    <row r="138" spans="1:10" x14ac:dyDescent="0.25">
      <c r="A138" t="s">
        <v>894</v>
      </c>
      <c r="B138" t="str">
        <f t="shared" si="4"/>
        <v>[[Vicious Mockery]]</v>
      </c>
      <c r="C138">
        <v>0</v>
      </c>
      <c r="D138" t="s">
        <v>709</v>
      </c>
      <c r="E138" t="s">
        <v>710</v>
      </c>
      <c r="F138" t="s">
        <v>725</v>
      </c>
      <c r="G138" t="s">
        <v>730</v>
      </c>
      <c r="H138" t="s">
        <v>740</v>
      </c>
    </row>
    <row r="139" spans="1:10" x14ac:dyDescent="0.25">
      <c r="A139" t="s">
        <v>895</v>
      </c>
      <c r="B139" t="str">
        <f t="shared" si="4"/>
        <v>[[Yolande's Regal Presence]]</v>
      </c>
      <c r="C139">
        <v>5</v>
      </c>
      <c r="D139" t="s">
        <v>709</v>
      </c>
      <c r="E139" t="s">
        <v>710</v>
      </c>
      <c r="F139" t="s">
        <v>738</v>
      </c>
      <c r="G139" t="s">
        <v>720</v>
      </c>
      <c r="H139" t="s">
        <v>713</v>
      </c>
      <c r="I139" t="s">
        <v>722</v>
      </c>
    </row>
    <row r="140" spans="1:10" x14ac:dyDescent="0.25">
      <c r="A140" t="s">
        <v>896</v>
      </c>
      <c r="B140" t="str">
        <f t="shared" si="4"/>
        <v>[[Zone of Truth]]</v>
      </c>
      <c r="C140">
        <v>2</v>
      </c>
      <c r="D140" t="s">
        <v>709</v>
      </c>
      <c r="E140" t="s">
        <v>710</v>
      </c>
      <c r="F140" t="s">
        <v>725</v>
      </c>
      <c r="G140" t="s">
        <v>746</v>
      </c>
      <c r="H140" t="s">
        <v>721</v>
      </c>
    </row>
  </sheetData>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0129D-7811-45F9-8A76-760C75E37632}">
  <sheetPr codeName="Sheet3"/>
  <dimension ref="A1:J117"/>
  <sheetViews>
    <sheetView topLeftCell="A94" workbookViewId="0">
      <selection activeCell="B1" sqref="B1:J117"/>
    </sheetView>
  </sheetViews>
  <sheetFormatPr defaultRowHeight="15" x14ac:dyDescent="0.25"/>
  <sheetData>
    <row r="1" spans="1:10" x14ac:dyDescent="0.25">
      <c r="A1" t="s">
        <v>707</v>
      </c>
      <c r="B1" t="str">
        <f t="shared" ref="B1:B32" si="0">"[["&amp;A1&amp;"]]"</f>
        <v>[[Aid]]</v>
      </c>
      <c r="C1">
        <v>2</v>
      </c>
      <c r="D1" t="s">
        <v>737</v>
      </c>
      <c r="E1" t="s">
        <v>710</v>
      </c>
      <c r="F1" t="s">
        <v>711</v>
      </c>
      <c r="G1" t="s">
        <v>728</v>
      </c>
      <c r="H1" t="s">
        <v>713</v>
      </c>
    </row>
    <row r="2" spans="1:10" x14ac:dyDescent="0.25">
      <c r="A2" t="s">
        <v>897</v>
      </c>
      <c r="B2" t="str">
        <f t="shared" si="0"/>
        <v>[[Animate Dead]]</v>
      </c>
      <c r="C2">
        <v>3</v>
      </c>
      <c r="D2" t="s">
        <v>735</v>
      </c>
      <c r="E2" t="s">
        <v>720</v>
      </c>
      <c r="F2" t="s">
        <v>791</v>
      </c>
      <c r="G2" t="s">
        <v>730</v>
      </c>
      <c r="H2" t="s">
        <v>713</v>
      </c>
    </row>
    <row r="3" spans="1:10" x14ac:dyDescent="0.25">
      <c r="A3" t="s">
        <v>898</v>
      </c>
      <c r="B3" t="str">
        <f t="shared" si="0"/>
        <v>[[Antimagic Field]]</v>
      </c>
      <c r="C3">
        <v>8</v>
      </c>
      <c r="D3" t="s">
        <v>737</v>
      </c>
      <c r="E3" t="s">
        <v>710</v>
      </c>
      <c r="F3" t="s">
        <v>738</v>
      </c>
      <c r="G3" t="s">
        <v>724</v>
      </c>
      <c r="H3" t="s">
        <v>713</v>
      </c>
      <c r="I3" t="s">
        <v>722</v>
      </c>
    </row>
    <row r="4" spans="1:10" x14ac:dyDescent="0.25">
      <c r="A4" t="s">
        <v>899</v>
      </c>
      <c r="B4" t="str">
        <f t="shared" si="0"/>
        <v>[[Astral Projection]]</v>
      </c>
      <c r="C4">
        <v>9</v>
      </c>
      <c r="D4" t="s">
        <v>735</v>
      </c>
      <c r="E4" t="s">
        <v>724</v>
      </c>
      <c r="F4" t="s">
        <v>791</v>
      </c>
      <c r="G4" t="s">
        <v>826</v>
      </c>
      <c r="H4" t="s">
        <v>713</v>
      </c>
    </row>
    <row r="5" spans="1:10" x14ac:dyDescent="0.25">
      <c r="A5" t="s">
        <v>900</v>
      </c>
      <c r="B5" t="str">
        <f t="shared" si="0"/>
        <v>[[Augury]]</v>
      </c>
      <c r="C5">
        <v>2</v>
      </c>
      <c r="D5" t="s">
        <v>745</v>
      </c>
      <c r="E5" t="s">
        <v>812</v>
      </c>
      <c r="F5" t="s">
        <v>738</v>
      </c>
      <c r="G5" t="s">
        <v>730</v>
      </c>
      <c r="H5" t="s">
        <v>713</v>
      </c>
      <c r="J5" t="s">
        <v>716</v>
      </c>
    </row>
    <row r="6" spans="1:10" x14ac:dyDescent="0.25">
      <c r="A6" t="s">
        <v>901</v>
      </c>
      <c r="B6" t="str">
        <f t="shared" si="0"/>
        <v>[[Aura of Life]]</v>
      </c>
      <c r="C6">
        <v>4</v>
      </c>
      <c r="D6" t="s">
        <v>737</v>
      </c>
      <c r="E6" t="s">
        <v>710</v>
      </c>
      <c r="F6" t="s">
        <v>738</v>
      </c>
      <c r="G6" t="s">
        <v>746</v>
      </c>
      <c r="H6" t="s">
        <v>740</v>
      </c>
      <c r="I6" t="s">
        <v>722</v>
      </c>
    </row>
    <row r="7" spans="1:10" x14ac:dyDescent="0.25">
      <c r="A7" t="s">
        <v>902</v>
      </c>
      <c r="B7" t="str">
        <f t="shared" si="0"/>
        <v>[[Aura of Purity]]</v>
      </c>
      <c r="C7">
        <v>4</v>
      </c>
      <c r="D7" t="s">
        <v>737</v>
      </c>
      <c r="E7" t="s">
        <v>710</v>
      </c>
      <c r="F7" t="s">
        <v>738</v>
      </c>
      <c r="G7" t="s">
        <v>746</v>
      </c>
      <c r="H7" t="s">
        <v>740</v>
      </c>
      <c r="I7" t="s">
        <v>722</v>
      </c>
    </row>
    <row r="8" spans="1:10" x14ac:dyDescent="0.25">
      <c r="A8" t="s">
        <v>903</v>
      </c>
      <c r="B8" t="str">
        <f t="shared" si="0"/>
        <v>[[Aura of Vitality]]</v>
      </c>
      <c r="C8">
        <v>3</v>
      </c>
      <c r="D8" t="s">
        <v>737</v>
      </c>
      <c r="E8" t="s">
        <v>710</v>
      </c>
      <c r="F8" t="s">
        <v>738</v>
      </c>
      <c r="G8" t="s">
        <v>720</v>
      </c>
      <c r="H8" t="s">
        <v>740</v>
      </c>
      <c r="I8" t="s">
        <v>722</v>
      </c>
    </row>
    <row r="9" spans="1:10" x14ac:dyDescent="0.25">
      <c r="A9" t="s">
        <v>731</v>
      </c>
      <c r="B9" t="str">
        <f t="shared" si="0"/>
        <v>[[Bane]]</v>
      </c>
      <c r="C9">
        <v>1</v>
      </c>
      <c r="D9" t="s">
        <v>709</v>
      </c>
      <c r="E9" t="s">
        <v>710</v>
      </c>
      <c r="F9" t="s">
        <v>711</v>
      </c>
      <c r="G9" t="s">
        <v>720</v>
      </c>
      <c r="H9" t="s">
        <v>713</v>
      </c>
      <c r="I9" t="s">
        <v>722</v>
      </c>
    </row>
    <row r="10" spans="1:10" x14ac:dyDescent="0.25">
      <c r="A10" t="s">
        <v>904</v>
      </c>
      <c r="B10" t="str">
        <f t="shared" si="0"/>
        <v>[[Banishment]]</v>
      </c>
      <c r="C10">
        <v>4</v>
      </c>
      <c r="D10" t="s">
        <v>737</v>
      </c>
      <c r="E10" t="s">
        <v>710</v>
      </c>
      <c r="F10" t="s">
        <v>711</v>
      </c>
      <c r="G10" t="s">
        <v>720</v>
      </c>
      <c r="H10" t="s">
        <v>713</v>
      </c>
      <c r="I10" t="s">
        <v>722</v>
      </c>
    </row>
    <row r="11" spans="1:10" x14ac:dyDescent="0.25">
      <c r="A11" t="s">
        <v>905</v>
      </c>
      <c r="B11" t="str">
        <f t="shared" si="0"/>
        <v>[[Beacon of Hope]]</v>
      </c>
      <c r="C11">
        <v>3</v>
      </c>
      <c r="D11" t="s">
        <v>737</v>
      </c>
      <c r="E11" t="s">
        <v>710</v>
      </c>
      <c r="F11" t="s">
        <v>711</v>
      </c>
      <c r="G11" t="s">
        <v>720</v>
      </c>
      <c r="H11" t="s">
        <v>721</v>
      </c>
      <c r="I11" t="s">
        <v>722</v>
      </c>
    </row>
    <row r="12" spans="1:10" x14ac:dyDescent="0.25">
      <c r="A12" t="s">
        <v>734</v>
      </c>
      <c r="B12" t="str">
        <f t="shared" si="0"/>
        <v>[[Bestow Curse]]</v>
      </c>
      <c r="C12">
        <v>3</v>
      </c>
      <c r="D12" t="s">
        <v>735</v>
      </c>
      <c r="E12" t="s">
        <v>710</v>
      </c>
      <c r="F12" t="s">
        <v>729</v>
      </c>
      <c r="G12" t="s">
        <v>720</v>
      </c>
      <c r="H12" t="s">
        <v>721</v>
      </c>
      <c r="I12" t="s">
        <v>722</v>
      </c>
    </row>
    <row r="13" spans="1:10" x14ac:dyDescent="0.25">
      <c r="A13" t="s">
        <v>906</v>
      </c>
      <c r="B13" t="str">
        <f t="shared" si="0"/>
        <v>[[Blade Barrier]]</v>
      </c>
      <c r="C13">
        <v>6</v>
      </c>
      <c r="D13" t="s">
        <v>777</v>
      </c>
      <c r="E13" t="s">
        <v>710</v>
      </c>
      <c r="F13" t="s">
        <v>756</v>
      </c>
      <c r="G13" t="s">
        <v>746</v>
      </c>
      <c r="H13" t="s">
        <v>721</v>
      </c>
      <c r="I13" t="s">
        <v>722</v>
      </c>
    </row>
    <row r="14" spans="1:10" x14ac:dyDescent="0.25">
      <c r="A14" t="s">
        <v>907</v>
      </c>
      <c r="B14" t="str">
        <f t="shared" si="0"/>
        <v>[[Bless]]</v>
      </c>
      <c r="C14">
        <v>1</v>
      </c>
      <c r="D14" t="s">
        <v>709</v>
      </c>
      <c r="E14" t="s">
        <v>710</v>
      </c>
      <c r="F14" t="s">
        <v>711</v>
      </c>
      <c r="G14" t="s">
        <v>720</v>
      </c>
      <c r="H14" t="s">
        <v>713</v>
      </c>
      <c r="I14" t="s">
        <v>722</v>
      </c>
    </row>
    <row r="15" spans="1:10" x14ac:dyDescent="0.25">
      <c r="A15" t="s">
        <v>739</v>
      </c>
      <c r="B15" t="str">
        <f t="shared" si="0"/>
        <v>[[Blindness/Deafness]]</v>
      </c>
      <c r="C15">
        <v>2</v>
      </c>
      <c r="D15" t="s">
        <v>718</v>
      </c>
      <c r="E15" t="s">
        <v>710</v>
      </c>
      <c r="F15" t="s">
        <v>719</v>
      </c>
      <c r="G15" t="s">
        <v>720</v>
      </c>
      <c r="H15" t="s">
        <v>740</v>
      </c>
    </row>
    <row r="16" spans="1:10" x14ac:dyDescent="0.25">
      <c r="A16" t="s">
        <v>741</v>
      </c>
      <c r="B16" t="str">
        <f t="shared" si="0"/>
        <v>[[Calm Emotions]]</v>
      </c>
      <c r="C16">
        <v>2</v>
      </c>
      <c r="D16" t="s">
        <v>709</v>
      </c>
      <c r="E16" t="s">
        <v>710</v>
      </c>
      <c r="F16" t="s">
        <v>725</v>
      </c>
      <c r="G16" t="s">
        <v>720</v>
      </c>
      <c r="H16" t="s">
        <v>721</v>
      </c>
      <c r="I16" t="s">
        <v>722</v>
      </c>
    </row>
    <row r="17" spans="1:10" x14ac:dyDescent="0.25">
      <c r="A17" t="s">
        <v>908</v>
      </c>
      <c r="B17" t="str">
        <f t="shared" si="0"/>
        <v>[[Circle of Power]]</v>
      </c>
      <c r="C17">
        <v>5</v>
      </c>
      <c r="D17" t="s">
        <v>737</v>
      </c>
      <c r="E17" t="s">
        <v>710</v>
      </c>
      <c r="F17" t="s">
        <v>738</v>
      </c>
      <c r="G17" t="s">
        <v>746</v>
      </c>
      <c r="H17" t="s">
        <v>740</v>
      </c>
      <c r="I17" t="s">
        <v>722</v>
      </c>
    </row>
    <row r="18" spans="1:10" x14ac:dyDescent="0.25">
      <c r="A18" t="s">
        <v>744</v>
      </c>
      <c r="B18" t="str">
        <f t="shared" si="0"/>
        <v>[[Clairvoyance]]</v>
      </c>
      <c r="C18">
        <v>3</v>
      </c>
      <c r="D18" t="s">
        <v>745</v>
      </c>
      <c r="E18" t="s">
        <v>746</v>
      </c>
      <c r="F18" t="s">
        <v>747</v>
      </c>
      <c r="G18" t="s">
        <v>746</v>
      </c>
      <c r="H18" t="s">
        <v>713</v>
      </c>
      <c r="I18" t="s">
        <v>722</v>
      </c>
    </row>
    <row r="19" spans="1:10" x14ac:dyDescent="0.25">
      <c r="A19" t="s">
        <v>752</v>
      </c>
      <c r="B19" t="str">
        <f t="shared" si="0"/>
        <v>[[Command]]</v>
      </c>
      <c r="C19">
        <v>1</v>
      </c>
      <c r="D19" t="s">
        <v>709</v>
      </c>
      <c r="E19" t="s">
        <v>710</v>
      </c>
      <c r="F19" t="s">
        <v>725</v>
      </c>
      <c r="G19" t="s">
        <v>730</v>
      </c>
      <c r="H19" t="s">
        <v>740</v>
      </c>
    </row>
    <row r="20" spans="1:10" x14ac:dyDescent="0.25">
      <c r="A20" t="s">
        <v>909</v>
      </c>
      <c r="B20" t="str">
        <f t="shared" si="0"/>
        <v>[[Commune]]</v>
      </c>
      <c r="C20">
        <v>5</v>
      </c>
      <c r="D20" t="s">
        <v>745</v>
      </c>
      <c r="E20" t="s">
        <v>812</v>
      </c>
      <c r="F20" t="s">
        <v>738</v>
      </c>
      <c r="G20" t="s">
        <v>720</v>
      </c>
      <c r="H20" t="s">
        <v>713</v>
      </c>
      <c r="J20" t="s">
        <v>716</v>
      </c>
    </row>
    <row r="21" spans="1:10" x14ac:dyDescent="0.25">
      <c r="A21" t="s">
        <v>910</v>
      </c>
      <c r="B21" t="str">
        <f t="shared" si="0"/>
        <v>[[Conjure Celestial]]</v>
      </c>
      <c r="C21">
        <v>7</v>
      </c>
      <c r="D21" t="s">
        <v>749</v>
      </c>
      <c r="E21" t="s">
        <v>710</v>
      </c>
      <c r="F21" t="s">
        <v>756</v>
      </c>
      <c r="G21" t="s">
        <v>746</v>
      </c>
      <c r="H21" t="s">
        <v>721</v>
      </c>
      <c r="I21" t="s">
        <v>722</v>
      </c>
    </row>
    <row r="22" spans="1:10" x14ac:dyDescent="0.25">
      <c r="A22" t="s">
        <v>911</v>
      </c>
      <c r="B22" t="str">
        <f t="shared" si="0"/>
        <v>[[Contagion]]</v>
      </c>
      <c r="C22">
        <v>5</v>
      </c>
      <c r="D22" t="s">
        <v>735</v>
      </c>
      <c r="E22" t="s">
        <v>710</v>
      </c>
      <c r="F22" t="s">
        <v>729</v>
      </c>
      <c r="G22" t="s">
        <v>912</v>
      </c>
      <c r="H22" t="s">
        <v>721</v>
      </c>
    </row>
    <row r="23" spans="1:10" x14ac:dyDescent="0.25">
      <c r="A23" t="s">
        <v>913</v>
      </c>
      <c r="B23" t="str">
        <f t="shared" si="0"/>
        <v>[[Continual Flame]]</v>
      </c>
      <c r="C23">
        <v>2</v>
      </c>
      <c r="D23" t="s">
        <v>777</v>
      </c>
      <c r="E23" t="s">
        <v>710</v>
      </c>
      <c r="F23" t="s">
        <v>729</v>
      </c>
      <c r="G23" t="s">
        <v>826</v>
      </c>
      <c r="H23" t="s">
        <v>713</v>
      </c>
    </row>
    <row r="24" spans="1:10" x14ac:dyDescent="0.25">
      <c r="A24" t="s">
        <v>914</v>
      </c>
      <c r="B24" t="str">
        <f t="shared" si="0"/>
        <v>[[Control Water]]</v>
      </c>
      <c r="C24">
        <v>4</v>
      </c>
      <c r="D24" t="s">
        <v>718</v>
      </c>
      <c r="E24" t="s">
        <v>710</v>
      </c>
      <c r="F24" t="s">
        <v>802</v>
      </c>
      <c r="G24" t="s">
        <v>746</v>
      </c>
      <c r="H24" t="s">
        <v>713</v>
      </c>
      <c r="I24" t="s">
        <v>722</v>
      </c>
    </row>
    <row r="25" spans="1:10" x14ac:dyDescent="0.25">
      <c r="A25" t="s">
        <v>915</v>
      </c>
      <c r="B25" t="str">
        <f t="shared" si="0"/>
        <v>[[Control Weather]]</v>
      </c>
      <c r="C25">
        <v>8</v>
      </c>
      <c r="D25" t="s">
        <v>718</v>
      </c>
      <c r="E25" t="s">
        <v>746</v>
      </c>
      <c r="F25" t="s">
        <v>738</v>
      </c>
      <c r="G25" t="s">
        <v>728</v>
      </c>
      <c r="H25" t="s">
        <v>713</v>
      </c>
      <c r="I25" t="s">
        <v>722</v>
      </c>
    </row>
    <row r="26" spans="1:10" x14ac:dyDescent="0.25">
      <c r="A26" t="s">
        <v>916</v>
      </c>
      <c r="B26" t="str">
        <f t="shared" si="0"/>
        <v>[[Create Food and Water]]</v>
      </c>
      <c r="C26">
        <v>3</v>
      </c>
      <c r="D26" t="s">
        <v>749</v>
      </c>
      <c r="E26" t="s">
        <v>710</v>
      </c>
      <c r="F26" t="s">
        <v>711</v>
      </c>
      <c r="G26" t="s">
        <v>730</v>
      </c>
      <c r="H26" t="s">
        <v>721</v>
      </c>
    </row>
    <row r="27" spans="1:10" x14ac:dyDescent="0.25">
      <c r="A27" t="s">
        <v>917</v>
      </c>
      <c r="B27" t="str">
        <f t="shared" si="0"/>
        <v>[[Create or Destroy Water]]</v>
      </c>
      <c r="C27">
        <v>1</v>
      </c>
      <c r="D27" t="s">
        <v>718</v>
      </c>
      <c r="E27" t="s">
        <v>710</v>
      </c>
      <c r="F27" t="s">
        <v>711</v>
      </c>
      <c r="G27" t="s">
        <v>730</v>
      </c>
      <c r="H27" t="s">
        <v>713</v>
      </c>
    </row>
    <row r="28" spans="1:10" x14ac:dyDescent="0.25">
      <c r="A28" t="s">
        <v>918</v>
      </c>
      <c r="B28" t="str">
        <f t="shared" si="0"/>
        <v>[[Create Undead]]</v>
      </c>
      <c r="C28">
        <v>6</v>
      </c>
      <c r="D28" t="s">
        <v>735</v>
      </c>
      <c r="E28" t="s">
        <v>720</v>
      </c>
      <c r="F28" t="s">
        <v>791</v>
      </c>
      <c r="G28" t="s">
        <v>730</v>
      </c>
      <c r="H28" t="s">
        <v>713</v>
      </c>
    </row>
    <row r="29" spans="1:10" x14ac:dyDescent="0.25">
      <c r="A29" t="s">
        <v>758</v>
      </c>
      <c r="B29" t="str">
        <f t="shared" si="0"/>
        <v>[[Cure Wounds]]</v>
      </c>
      <c r="C29">
        <v>1</v>
      </c>
      <c r="D29" t="s">
        <v>737</v>
      </c>
      <c r="E29" t="s">
        <v>710</v>
      </c>
      <c r="F29" t="s">
        <v>729</v>
      </c>
      <c r="G29" t="s">
        <v>730</v>
      </c>
      <c r="H29" t="s">
        <v>721</v>
      </c>
    </row>
    <row r="30" spans="1:10" x14ac:dyDescent="0.25">
      <c r="A30" t="s">
        <v>919</v>
      </c>
      <c r="B30" t="str">
        <f t="shared" si="0"/>
        <v>[[Daylight]]</v>
      </c>
      <c r="C30">
        <v>3</v>
      </c>
      <c r="D30" t="s">
        <v>777</v>
      </c>
      <c r="E30" t="s">
        <v>710</v>
      </c>
      <c r="F30" t="s">
        <v>725</v>
      </c>
      <c r="G30" t="s">
        <v>724</v>
      </c>
      <c r="H30" t="s">
        <v>721</v>
      </c>
    </row>
    <row r="31" spans="1:10" x14ac:dyDescent="0.25">
      <c r="A31" t="s">
        <v>920</v>
      </c>
      <c r="B31" t="str">
        <f t="shared" si="0"/>
        <v>[[Death Ward]]</v>
      </c>
      <c r="C31">
        <v>4</v>
      </c>
      <c r="D31" t="s">
        <v>737</v>
      </c>
      <c r="E31" t="s">
        <v>710</v>
      </c>
      <c r="F31" t="s">
        <v>729</v>
      </c>
      <c r="G31" t="s">
        <v>728</v>
      </c>
      <c r="H31" t="s">
        <v>721</v>
      </c>
    </row>
    <row r="32" spans="1:10" x14ac:dyDescent="0.25">
      <c r="A32" t="s">
        <v>921</v>
      </c>
      <c r="B32" t="str">
        <f t="shared" si="0"/>
        <v>[[Detect Evil and Good]]</v>
      </c>
      <c r="C32">
        <v>1</v>
      </c>
      <c r="D32" t="s">
        <v>745</v>
      </c>
      <c r="E32" t="s">
        <v>710</v>
      </c>
      <c r="F32" t="s">
        <v>738</v>
      </c>
      <c r="G32" t="s">
        <v>746</v>
      </c>
      <c r="H32" t="s">
        <v>721</v>
      </c>
      <c r="I32" t="s">
        <v>722</v>
      </c>
    </row>
    <row r="33" spans="1:10" x14ac:dyDescent="0.25">
      <c r="A33" t="s">
        <v>760</v>
      </c>
      <c r="B33" t="str">
        <f t="shared" ref="B33:B64" si="1">"[["&amp;A33&amp;"]]"</f>
        <v>[[Detect Magic]]</v>
      </c>
      <c r="C33">
        <v>1</v>
      </c>
      <c r="D33" t="s">
        <v>745</v>
      </c>
      <c r="E33" t="s">
        <v>715</v>
      </c>
      <c r="F33" t="s">
        <v>738</v>
      </c>
      <c r="G33" t="s">
        <v>746</v>
      </c>
      <c r="H33" t="s">
        <v>721</v>
      </c>
      <c r="I33" t="s">
        <v>722</v>
      </c>
      <c r="J33" t="s">
        <v>716</v>
      </c>
    </row>
    <row r="34" spans="1:10" x14ac:dyDescent="0.25">
      <c r="A34" t="s">
        <v>922</v>
      </c>
      <c r="B34" t="str">
        <f t="shared" si="1"/>
        <v>[[Detect Poison and Disease]]</v>
      </c>
      <c r="C34">
        <v>1</v>
      </c>
      <c r="D34" t="s">
        <v>745</v>
      </c>
      <c r="E34" t="s">
        <v>715</v>
      </c>
      <c r="F34" t="s">
        <v>738</v>
      </c>
      <c r="G34" t="s">
        <v>746</v>
      </c>
      <c r="H34" t="s">
        <v>713</v>
      </c>
      <c r="I34" t="s">
        <v>722</v>
      </c>
      <c r="J34" t="s">
        <v>716</v>
      </c>
    </row>
    <row r="35" spans="1:10" x14ac:dyDescent="0.25">
      <c r="A35" t="s">
        <v>923</v>
      </c>
      <c r="B35" t="str">
        <f t="shared" si="1"/>
        <v>[[Dispel Evil and Good]]</v>
      </c>
      <c r="C35">
        <v>5</v>
      </c>
      <c r="D35" t="s">
        <v>737</v>
      </c>
      <c r="E35" t="s">
        <v>710</v>
      </c>
      <c r="F35" t="s">
        <v>738</v>
      </c>
      <c r="G35" t="s">
        <v>720</v>
      </c>
      <c r="H35" t="s">
        <v>713</v>
      </c>
      <c r="I35" t="s">
        <v>722</v>
      </c>
    </row>
    <row r="36" spans="1:10" x14ac:dyDescent="0.25">
      <c r="A36" t="s">
        <v>765</v>
      </c>
      <c r="B36" t="str">
        <f t="shared" si="1"/>
        <v>[[Dispel Magic]]</v>
      </c>
      <c r="C36">
        <v>3</v>
      </c>
      <c r="D36" t="s">
        <v>737</v>
      </c>
      <c r="E36" t="s">
        <v>710</v>
      </c>
      <c r="F36" t="s">
        <v>719</v>
      </c>
      <c r="G36" t="s">
        <v>730</v>
      </c>
      <c r="H36" t="s">
        <v>721</v>
      </c>
    </row>
    <row r="37" spans="1:10" x14ac:dyDescent="0.25">
      <c r="A37" t="s">
        <v>924</v>
      </c>
      <c r="B37" t="str">
        <f t="shared" si="1"/>
        <v>[[Divination]]</v>
      </c>
      <c r="C37">
        <v>4</v>
      </c>
      <c r="D37" t="s">
        <v>745</v>
      </c>
      <c r="E37" t="s">
        <v>715</v>
      </c>
      <c r="F37" t="s">
        <v>738</v>
      </c>
      <c r="G37" t="s">
        <v>730</v>
      </c>
      <c r="H37" t="s">
        <v>713</v>
      </c>
      <c r="J37" t="s">
        <v>716</v>
      </c>
    </row>
    <row r="38" spans="1:10" x14ac:dyDescent="0.25">
      <c r="A38" t="s">
        <v>925</v>
      </c>
      <c r="B38" t="str">
        <f t="shared" si="1"/>
        <v>[[Divine Word]]</v>
      </c>
      <c r="C38">
        <v>7</v>
      </c>
      <c r="D38" t="s">
        <v>777</v>
      </c>
      <c r="E38" t="s">
        <v>804</v>
      </c>
      <c r="F38" t="s">
        <v>711</v>
      </c>
      <c r="G38" t="s">
        <v>730</v>
      </c>
      <c r="H38" t="s">
        <v>740</v>
      </c>
    </row>
    <row r="39" spans="1:10" x14ac:dyDescent="0.25">
      <c r="A39" t="s">
        <v>926</v>
      </c>
      <c r="B39" t="str">
        <f t="shared" si="1"/>
        <v>[[Earthquake]]</v>
      </c>
      <c r="C39">
        <v>8</v>
      </c>
      <c r="D39" t="s">
        <v>718</v>
      </c>
      <c r="E39" t="s">
        <v>710</v>
      </c>
      <c r="F39" t="s">
        <v>763</v>
      </c>
      <c r="G39" t="s">
        <v>720</v>
      </c>
      <c r="H39" t="s">
        <v>713</v>
      </c>
      <c r="I39" t="s">
        <v>722</v>
      </c>
    </row>
    <row r="40" spans="1:10" x14ac:dyDescent="0.25">
      <c r="A40" t="s">
        <v>771</v>
      </c>
      <c r="B40" t="str">
        <f t="shared" si="1"/>
        <v>[[Enhance Ability]]</v>
      </c>
      <c r="C40">
        <v>2</v>
      </c>
      <c r="D40" t="s">
        <v>718</v>
      </c>
      <c r="E40" t="s">
        <v>710</v>
      </c>
      <c r="F40" t="s">
        <v>729</v>
      </c>
      <c r="G40" t="s">
        <v>724</v>
      </c>
      <c r="H40" t="s">
        <v>713</v>
      </c>
      <c r="I40" t="s">
        <v>722</v>
      </c>
    </row>
    <row r="41" spans="1:10" x14ac:dyDescent="0.25">
      <c r="A41" t="s">
        <v>774</v>
      </c>
      <c r="B41" t="str">
        <f t="shared" si="1"/>
        <v>[[Etherealness]]</v>
      </c>
      <c r="C41">
        <v>7</v>
      </c>
      <c r="D41" t="s">
        <v>749</v>
      </c>
      <c r="E41" t="s">
        <v>710</v>
      </c>
      <c r="F41" t="s">
        <v>738</v>
      </c>
      <c r="G41" t="s">
        <v>728</v>
      </c>
      <c r="H41" t="s">
        <v>721</v>
      </c>
    </row>
    <row r="42" spans="1:10" x14ac:dyDescent="0.25">
      <c r="A42" t="s">
        <v>782</v>
      </c>
      <c r="B42" t="str">
        <f t="shared" si="1"/>
        <v>[[Feign Death]]</v>
      </c>
      <c r="C42">
        <v>3</v>
      </c>
      <c r="D42" t="s">
        <v>735</v>
      </c>
      <c r="E42" t="s">
        <v>715</v>
      </c>
      <c r="F42" t="s">
        <v>729</v>
      </c>
      <c r="G42" t="s">
        <v>724</v>
      </c>
      <c r="H42" t="s">
        <v>713</v>
      </c>
      <c r="J42" t="s">
        <v>716</v>
      </c>
    </row>
    <row r="43" spans="1:10" x14ac:dyDescent="0.25">
      <c r="A43" t="s">
        <v>783</v>
      </c>
      <c r="B43" t="str">
        <f t="shared" si="1"/>
        <v>[[Find the Path]]</v>
      </c>
      <c r="C43">
        <v>6</v>
      </c>
      <c r="D43" t="s">
        <v>745</v>
      </c>
      <c r="E43" t="s">
        <v>720</v>
      </c>
      <c r="F43" t="s">
        <v>738</v>
      </c>
      <c r="G43" t="s">
        <v>784</v>
      </c>
      <c r="H43" t="s">
        <v>713</v>
      </c>
      <c r="I43" t="s">
        <v>722</v>
      </c>
    </row>
    <row r="44" spans="1:10" x14ac:dyDescent="0.25">
      <c r="A44" t="s">
        <v>927</v>
      </c>
      <c r="B44" t="str">
        <f t="shared" si="1"/>
        <v>[[Find Traps]]</v>
      </c>
      <c r="C44">
        <v>2</v>
      </c>
      <c r="D44" t="s">
        <v>745</v>
      </c>
      <c r="E44" t="s">
        <v>710</v>
      </c>
      <c r="F44" t="s">
        <v>719</v>
      </c>
      <c r="G44" t="s">
        <v>730</v>
      </c>
      <c r="H44" t="s">
        <v>721</v>
      </c>
    </row>
    <row r="45" spans="1:10" x14ac:dyDescent="0.25">
      <c r="A45" t="s">
        <v>928</v>
      </c>
      <c r="B45" t="str">
        <f t="shared" si="1"/>
        <v>[[Fire Storm]]</v>
      </c>
      <c r="C45">
        <v>7</v>
      </c>
      <c r="D45" t="s">
        <v>777</v>
      </c>
      <c r="E45" t="s">
        <v>710</v>
      </c>
      <c r="F45" t="s">
        <v>733</v>
      </c>
      <c r="G45" t="s">
        <v>730</v>
      </c>
      <c r="H45" t="s">
        <v>721</v>
      </c>
    </row>
    <row r="46" spans="1:10" x14ac:dyDescent="0.25">
      <c r="A46" t="s">
        <v>929</v>
      </c>
      <c r="B46" t="str">
        <f t="shared" si="1"/>
        <v>[[Flame Strike]]</v>
      </c>
      <c r="C46">
        <v>5</v>
      </c>
      <c r="D46" t="s">
        <v>777</v>
      </c>
      <c r="E46" t="s">
        <v>710</v>
      </c>
      <c r="F46" t="s">
        <v>725</v>
      </c>
      <c r="G46" t="s">
        <v>730</v>
      </c>
      <c r="H46" t="s">
        <v>713</v>
      </c>
    </row>
    <row r="47" spans="1:10" x14ac:dyDescent="0.25">
      <c r="A47" t="s">
        <v>930</v>
      </c>
      <c r="B47" t="str">
        <f t="shared" si="1"/>
        <v>[[Forbiddance]]</v>
      </c>
      <c r="C47">
        <v>6</v>
      </c>
      <c r="D47" t="s">
        <v>737</v>
      </c>
      <c r="E47" t="s">
        <v>931</v>
      </c>
      <c r="F47" t="s">
        <v>729</v>
      </c>
      <c r="G47" t="s">
        <v>784</v>
      </c>
      <c r="H47" t="s">
        <v>713</v>
      </c>
      <c r="J47" t="s">
        <v>716</v>
      </c>
    </row>
    <row r="48" spans="1:10" x14ac:dyDescent="0.25">
      <c r="A48" t="s">
        <v>789</v>
      </c>
      <c r="B48" t="str">
        <f t="shared" si="1"/>
        <v>[[Freedom of Movement]]</v>
      </c>
      <c r="C48">
        <v>4</v>
      </c>
      <c r="D48" t="s">
        <v>737</v>
      </c>
      <c r="E48" t="s">
        <v>710</v>
      </c>
      <c r="F48" t="s">
        <v>729</v>
      </c>
      <c r="G48" t="s">
        <v>724</v>
      </c>
      <c r="H48" t="s">
        <v>713</v>
      </c>
    </row>
    <row r="49" spans="1:10" x14ac:dyDescent="0.25">
      <c r="A49" t="s">
        <v>932</v>
      </c>
      <c r="B49" t="str">
        <f t="shared" si="1"/>
        <v>[[Gate]]</v>
      </c>
      <c r="C49">
        <v>9</v>
      </c>
      <c r="D49" t="s">
        <v>749</v>
      </c>
      <c r="E49" t="s">
        <v>710</v>
      </c>
      <c r="F49" t="s">
        <v>725</v>
      </c>
      <c r="G49" t="s">
        <v>720</v>
      </c>
      <c r="H49" t="s">
        <v>713</v>
      </c>
      <c r="I49" t="s">
        <v>722</v>
      </c>
    </row>
    <row r="50" spans="1:10" x14ac:dyDescent="0.25">
      <c r="A50" t="s">
        <v>793</v>
      </c>
      <c r="B50" t="str">
        <f t="shared" si="1"/>
        <v>[[Geas]]</v>
      </c>
      <c r="C50">
        <v>5</v>
      </c>
      <c r="D50" t="s">
        <v>709</v>
      </c>
      <c r="E50" t="s">
        <v>720</v>
      </c>
      <c r="F50" t="s">
        <v>725</v>
      </c>
      <c r="G50" t="s">
        <v>794</v>
      </c>
      <c r="H50" t="s">
        <v>740</v>
      </c>
    </row>
    <row r="51" spans="1:10" x14ac:dyDescent="0.25">
      <c r="A51" t="s">
        <v>933</v>
      </c>
      <c r="B51" t="str">
        <f t="shared" si="1"/>
        <v>[[Gentle Repose]]</v>
      </c>
      <c r="C51">
        <v>2</v>
      </c>
      <c r="D51" t="s">
        <v>735</v>
      </c>
      <c r="E51" t="s">
        <v>715</v>
      </c>
      <c r="F51" t="s">
        <v>729</v>
      </c>
      <c r="G51" t="s">
        <v>726</v>
      </c>
      <c r="H51" t="s">
        <v>713</v>
      </c>
      <c r="J51" t="s">
        <v>716</v>
      </c>
    </row>
    <row r="52" spans="1:10" x14ac:dyDescent="0.25">
      <c r="A52" t="s">
        <v>796</v>
      </c>
      <c r="B52" t="str">
        <f t="shared" si="1"/>
        <v>[[Glyph of Warding]]</v>
      </c>
      <c r="C52">
        <v>3</v>
      </c>
      <c r="D52" t="s">
        <v>737</v>
      </c>
      <c r="E52" t="s">
        <v>724</v>
      </c>
      <c r="F52" t="s">
        <v>729</v>
      </c>
      <c r="G52" t="s">
        <v>797</v>
      </c>
      <c r="H52" t="s">
        <v>713</v>
      </c>
    </row>
    <row r="53" spans="1:10" x14ac:dyDescent="0.25">
      <c r="A53" t="s">
        <v>799</v>
      </c>
      <c r="B53" t="str">
        <f t="shared" si="1"/>
        <v>[[Greater Restoration]]</v>
      </c>
      <c r="C53">
        <v>5</v>
      </c>
      <c r="D53" t="s">
        <v>737</v>
      </c>
      <c r="E53" t="s">
        <v>710</v>
      </c>
      <c r="F53" t="s">
        <v>729</v>
      </c>
      <c r="G53" t="s">
        <v>730</v>
      </c>
      <c r="H53" t="s">
        <v>713</v>
      </c>
    </row>
    <row r="54" spans="1:10" x14ac:dyDescent="0.25">
      <c r="A54" t="s">
        <v>934</v>
      </c>
      <c r="B54" t="str">
        <f t="shared" si="1"/>
        <v>[[Guardian of Faith]]</v>
      </c>
      <c r="C54">
        <v>4</v>
      </c>
      <c r="D54" t="s">
        <v>749</v>
      </c>
      <c r="E54" t="s">
        <v>710</v>
      </c>
      <c r="F54" t="s">
        <v>711</v>
      </c>
      <c r="G54" t="s">
        <v>728</v>
      </c>
      <c r="H54" t="s">
        <v>740</v>
      </c>
    </row>
    <row r="55" spans="1:10" x14ac:dyDescent="0.25">
      <c r="A55" t="s">
        <v>935</v>
      </c>
      <c r="B55" t="str">
        <f t="shared" si="1"/>
        <v>[[Guidance]]</v>
      </c>
      <c r="C55">
        <v>0</v>
      </c>
      <c r="D55" t="s">
        <v>745</v>
      </c>
      <c r="E55" t="s">
        <v>710</v>
      </c>
      <c r="F55" t="s">
        <v>729</v>
      </c>
      <c r="G55" t="s">
        <v>720</v>
      </c>
      <c r="H55" t="s">
        <v>721</v>
      </c>
      <c r="I55" t="s">
        <v>722</v>
      </c>
    </row>
    <row r="56" spans="1:10" x14ac:dyDescent="0.25">
      <c r="A56" t="s">
        <v>936</v>
      </c>
      <c r="B56" t="str">
        <f t="shared" si="1"/>
        <v>[[Guiding Bolt]]</v>
      </c>
      <c r="C56">
        <v>1</v>
      </c>
      <c r="D56" t="s">
        <v>777</v>
      </c>
      <c r="E56" t="s">
        <v>710</v>
      </c>
      <c r="F56" t="s">
        <v>719</v>
      </c>
      <c r="G56" t="s">
        <v>833</v>
      </c>
      <c r="H56" t="s">
        <v>721</v>
      </c>
    </row>
    <row r="57" spans="1:10" x14ac:dyDescent="0.25">
      <c r="A57" t="s">
        <v>937</v>
      </c>
      <c r="B57" t="str">
        <f t="shared" si="1"/>
        <v>[[Hallow]]</v>
      </c>
      <c r="C57">
        <v>5</v>
      </c>
      <c r="D57" t="s">
        <v>737</v>
      </c>
      <c r="E57" t="s">
        <v>712</v>
      </c>
      <c r="F57" t="s">
        <v>729</v>
      </c>
      <c r="G57" t="s">
        <v>826</v>
      </c>
      <c r="H57" t="s">
        <v>713</v>
      </c>
    </row>
    <row r="58" spans="1:10" x14ac:dyDescent="0.25">
      <c r="A58" t="s">
        <v>938</v>
      </c>
      <c r="B58" t="str">
        <f t="shared" si="1"/>
        <v>[[Harm]]</v>
      </c>
      <c r="C58">
        <v>6</v>
      </c>
      <c r="D58" t="s">
        <v>735</v>
      </c>
      <c r="E58" t="s">
        <v>710</v>
      </c>
      <c r="F58" t="s">
        <v>725</v>
      </c>
      <c r="G58" t="s">
        <v>730</v>
      </c>
      <c r="H58" t="s">
        <v>721</v>
      </c>
    </row>
    <row r="59" spans="1:10" x14ac:dyDescent="0.25">
      <c r="A59" t="s">
        <v>939</v>
      </c>
      <c r="B59" t="str">
        <f t="shared" si="1"/>
        <v>[[Heal]]</v>
      </c>
      <c r="C59">
        <v>6</v>
      </c>
      <c r="D59" t="s">
        <v>737</v>
      </c>
      <c r="E59" t="s">
        <v>710</v>
      </c>
      <c r="F59" t="s">
        <v>725</v>
      </c>
      <c r="G59" t="s">
        <v>730</v>
      </c>
      <c r="H59" t="s">
        <v>721</v>
      </c>
    </row>
    <row r="60" spans="1:10" x14ac:dyDescent="0.25">
      <c r="A60" t="s">
        <v>803</v>
      </c>
      <c r="B60" t="str">
        <f t="shared" si="1"/>
        <v>[[Healing Word]]</v>
      </c>
      <c r="C60">
        <v>1</v>
      </c>
      <c r="D60" t="s">
        <v>737</v>
      </c>
      <c r="E60" t="s">
        <v>804</v>
      </c>
      <c r="F60" t="s">
        <v>725</v>
      </c>
      <c r="G60" t="s">
        <v>730</v>
      </c>
      <c r="H60" t="s">
        <v>740</v>
      </c>
    </row>
    <row r="61" spans="1:10" x14ac:dyDescent="0.25">
      <c r="A61" t="s">
        <v>806</v>
      </c>
      <c r="B61" t="str">
        <f t="shared" si="1"/>
        <v>[[Heroes' Feast]]</v>
      </c>
      <c r="C61">
        <v>6</v>
      </c>
      <c r="D61" t="s">
        <v>749</v>
      </c>
      <c r="E61" t="s">
        <v>746</v>
      </c>
      <c r="F61" t="s">
        <v>738</v>
      </c>
      <c r="G61" t="s">
        <v>730</v>
      </c>
      <c r="H61" t="s">
        <v>713</v>
      </c>
    </row>
    <row r="62" spans="1:10" x14ac:dyDescent="0.25">
      <c r="A62" t="s">
        <v>809</v>
      </c>
      <c r="B62" t="str">
        <f t="shared" si="1"/>
        <v>[[Hold Person]]</v>
      </c>
      <c r="C62">
        <v>2</v>
      </c>
      <c r="D62" t="s">
        <v>709</v>
      </c>
      <c r="E62" t="s">
        <v>710</v>
      </c>
      <c r="F62" t="s">
        <v>725</v>
      </c>
      <c r="G62" t="s">
        <v>720</v>
      </c>
      <c r="H62" t="s">
        <v>713</v>
      </c>
      <c r="I62" t="s">
        <v>722</v>
      </c>
    </row>
    <row r="63" spans="1:10" x14ac:dyDescent="0.25">
      <c r="A63" t="s">
        <v>940</v>
      </c>
      <c r="B63" t="str">
        <f t="shared" si="1"/>
        <v>[[Holy Aura]]</v>
      </c>
      <c r="C63">
        <v>8</v>
      </c>
      <c r="D63" t="s">
        <v>737</v>
      </c>
      <c r="E63" t="s">
        <v>710</v>
      </c>
      <c r="F63" t="s">
        <v>738</v>
      </c>
      <c r="G63" t="s">
        <v>720</v>
      </c>
      <c r="H63" t="s">
        <v>713</v>
      </c>
      <c r="I63" t="s">
        <v>722</v>
      </c>
    </row>
    <row r="64" spans="1:10" x14ac:dyDescent="0.25">
      <c r="A64" t="s">
        <v>941</v>
      </c>
      <c r="B64" t="str">
        <f t="shared" si="1"/>
        <v>[[Inflict Wounds]]</v>
      </c>
      <c r="C64">
        <v>1</v>
      </c>
      <c r="D64" t="s">
        <v>735</v>
      </c>
      <c r="E64" t="s">
        <v>710</v>
      </c>
      <c r="F64" t="s">
        <v>729</v>
      </c>
      <c r="G64" t="s">
        <v>730</v>
      </c>
      <c r="H64" t="s">
        <v>721</v>
      </c>
    </row>
    <row r="65" spans="1:10" x14ac:dyDescent="0.25">
      <c r="A65" t="s">
        <v>942</v>
      </c>
      <c r="B65" t="str">
        <f t="shared" ref="B65:B96" si="2">"[["&amp;A65&amp;"]]"</f>
        <v>[[Insect Plague]]</v>
      </c>
      <c r="C65">
        <v>5</v>
      </c>
      <c r="D65" t="s">
        <v>749</v>
      </c>
      <c r="E65" t="s">
        <v>710</v>
      </c>
      <c r="F65" t="s">
        <v>802</v>
      </c>
      <c r="G65" t="s">
        <v>746</v>
      </c>
      <c r="H65" t="s">
        <v>713</v>
      </c>
      <c r="I65" t="s">
        <v>722</v>
      </c>
    </row>
    <row r="66" spans="1:10" x14ac:dyDescent="0.25">
      <c r="A66" t="s">
        <v>816</v>
      </c>
      <c r="B66" t="str">
        <f t="shared" si="2"/>
        <v>[[Legend Lore]]</v>
      </c>
      <c r="C66">
        <v>5</v>
      </c>
      <c r="D66" t="s">
        <v>745</v>
      </c>
      <c r="E66" t="s">
        <v>746</v>
      </c>
      <c r="F66" t="s">
        <v>738</v>
      </c>
      <c r="G66" t="s">
        <v>730</v>
      </c>
      <c r="H66" t="s">
        <v>713</v>
      </c>
    </row>
    <row r="67" spans="1:10" x14ac:dyDescent="0.25">
      <c r="A67" t="s">
        <v>818</v>
      </c>
      <c r="B67" t="str">
        <f t="shared" si="2"/>
        <v>[[Lesser Restoration]]</v>
      </c>
      <c r="C67">
        <v>2</v>
      </c>
      <c r="D67" t="s">
        <v>737</v>
      </c>
      <c r="E67" t="s">
        <v>804</v>
      </c>
      <c r="F67" t="s">
        <v>729</v>
      </c>
      <c r="G67" t="s">
        <v>730</v>
      </c>
      <c r="H67" t="s">
        <v>721</v>
      </c>
    </row>
    <row r="68" spans="1:10" x14ac:dyDescent="0.25">
      <c r="A68" t="s">
        <v>819</v>
      </c>
      <c r="B68" t="str">
        <f t="shared" si="2"/>
        <v>[[Light]]</v>
      </c>
      <c r="C68">
        <v>0</v>
      </c>
      <c r="D68" t="s">
        <v>777</v>
      </c>
      <c r="E68" t="s">
        <v>710</v>
      </c>
      <c r="F68" t="s">
        <v>729</v>
      </c>
      <c r="G68" t="s">
        <v>724</v>
      </c>
      <c r="H68" t="s">
        <v>781</v>
      </c>
    </row>
    <row r="69" spans="1:10" x14ac:dyDescent="0.25">
      <c r="A69" t="s">
        <v>821</v>
      </c>
      <c r="B69" t="str">
        <f t="shared" si="2"/>
        <v>[[Locate Creature]]</v>
      </c>
      <c r="C69">
        <v>4</v>
      </c>
      <c r="D69" t="s">
        <v>745</v>
      </c>
      <c r="E69" t="s">
        <v>710</v>
      </c>
      <c r="F69" t="s">
        <v>738</v>
      </c>
      <c r="G69" t="s">
        <v>724</v>
      </c>
      <c r="H69" t="s">
        <v>713</v>
      </c>
      <c r="I69" t="s">
        <v>722</v>
      </c>
    </row>
    <row r="70" spans="1:10" x14ac:dyDescent="0.25">
      <c r="A70" t="s">
        <v>822</v>
      </c>
      <c r="B70" t="str">
        <f t="shared" si="2"/>
        <v>[[Locate Object]]</v>
      </c>
      <c r="C70">
        <v>2</v>
      </c>
      <c r="D70" t="s">
        <v>745</v>
      </c>
      <c r="E70" t="s">
        <v>710</v>
      </c>
      <c r="F70" t="s">
        <v>738</v>
      </c>
      <c r="G70" t="s">
        <v>746</v>
      </c>
      <c r="H70" t="s">
        <v>713</v>
      </c>
      <c r="I70" t="s">
        <v>722</v>
      </c>
    </row>
    <row r="71" spans="1:10" x14ac:dyDescent="0.25">
      <c r="A71" t="s">
        <v>943</v>
      </c>
      <c r="B71" t="str">
        <f t="shared" si="2"/>
        <v>[[Magic Circle]]</v>
      </c>
      <c r="C71">
        <v>3</v>
      </c>
      <c r="D71" t="s">
        <v>737</v>
      </c>
      <c r="E71" t="s">
        <v>720</v>
      </c>
      <c r="F71" t="s">
        <v>791</v>
      </c>
      <c r="G71" t="s">
        <v>724</v>
      </c>
      <c r="H71" t="s">
        <v>713</v>
      </c>
    </row>
    <row r="72" spans="1:10" x14ac:dyDescent="0.25">
      <c r="A72" t="s">
        <v>828</v>
      </c>
      <c r="B72" t="str">
        <f t="shared" si="2"/>
        <v>[[Mass Cure Wounds]]</v>
      </c>
      <c r="C72">
        <v>5</v>
      </c>
      <c r="D72" t="s">
        <v>737</v>
      </c>
      <c r="E72" t="s">
        <v>710</v>
      </c>
      <c r="F72" t="s">
        <v>725</v>
      </c>
      <c r="G72" t="s">
        <v>730</v>
      </c>
      <c r="H72" t="s">
        <v>721</v>
      </c>
    </row>
    <row r="73" spans="1:10" x14ac:dyDescent="0.25">
      <c r="A73" t="s">
        <v>944</v>
      </c>
      <c r="B73" t="str">
        <f t="shared" si="2"/>
        <v>[[Mass Heal]]</v>
      </c>
      <c r="C73">
        <v>9</v>
      </c>
      <c r="D73" t="s">
        <v>737</v>
      </c>
      <c r="E73" t="s">
        <v>710</v>
      </c>
      <c r="F73" t="s">
        <v>725</v>
      </c>
      <c r="G73" t="s">
        <v>730</v>
      </c>
      <c r="H73" t="s">
        <v>721</v>
      </c>
    </row>
    <row r="74" spans="1:10" x14ac:dyDescent="0.25">
      <c r="A74" t="s">
        <v>829</v>
      </c>
      <c r="B74" t="str">
        <f t="shared" si="2"/>
        <v>[[Mass Healing Word]]</v>
      </c>
      <c r="C74">
        <v>3</v>
      </c>
      <c r="D74" t="s">
        <v>737</v>
      </c>
      <c r="E74" t="s">
        <v>804</v>
      </c>
      <c r="F74" t="s">
        <v>725</v>
      </c>
      <c r="G74" t="s">
        <v>730</v>
      </c>
      <c r="H74" t="s">
        <v>740</v>
      </c>
    </row>
    <row r="75" spans="1:10" x14ac:dyDescent="0.25">
      <c r="A75" t="s">
        <v>945</v>
      </c>
      <c r="B75" t="str">
        <f t="shared" si="2"/>
        <v>[[Meld into Stone]]</v>
      </c>
      <c r="C75">
        <v>3</v>
      </c>
      <c r="D75" t="s">
        <v>718</v>
      </c>
      <c r="E75" t="s">
        <v>715</v>
      </c>
      <c r="F75" t="s">
        <v>729</v>
      </c>
      <c r="G75" t="s">
        <v>728</v>
      </c>
      <c r="H75" t="s">
        <v>721</v>
      </c>
      <c r="J75" t="s">
        <v>716</v>
      </c>
    </row>
    <row r="76" spans="1:10" x14ac:dyDescent="0.25">
      <c r="A76" t="s">
        <v>831</v>
      </c>
      <c r="B76" t="str">
        <f t="shared" si="2"/>
        <v>[[Mending]]</v>
      </c>
      <c r="C76">
        <v>0</v>
      </c>
      <c r="D76" t="s">
        <v>718</v>
      </c>
      <c r="E76" t="s">
        <v>720</v>
      </c>
      <c r="F76" t="s">
        <v>729</v>
      </c>
      <c r="G76" t="s">
        <v>730</v>
      </c>
      <c r="H76" t="s">
        <v>713</v>
      </c>
    </row>
    <row r="77" spans="1:10" x14ac:dyDescent="0.25">
      <c r="A77" t="s">
        <v>946</v>
      </c>
      <c r="B77" t="str">
        <f t="shared" si="2"/>
        <v>[[Planar Ally]]</v>
      </c>
      <c r="C77">
        <v>6</v>
      </c>
      <c r="D77" t="s">
        <v>749</v>
      </c>
      <c r="E77" t="s">
        <v>746</v>
      </c>
      <c r="F77" t="s">
        <v>725</v>
      </c>
      <c r="G77" t="s">
        <v>730</v>
      </c>
      <c r="H77" t="s">
        <v>721</v>
      </c>
    </row>
    <row r="78" spans="1:10" x14ac:dyDescent="0.25">
      <c r="A78" t="s">
        <v>848</v>
      </c>
      <c r="B78" t="str">
        <f t="shared" si="2"/>
        <v>[[Planar Binding]]</v>
      </c>
      <c r="C78">
        <v>5</v>
      </c>
      <c r="D78" t="s">
        <v>737</v>
      </c>
      <c r="E78" t="s">
        <v>724</v>
      </c>
      <c r="F78" t="s">
        <v>725</v>
      </c>
      <c r="G78" t="s">
        <v>712</v>
      </c>
      <c r="H78" t="s">
        <v>713</v>
      </c>
    </row>
    <row r="79" spans="1:10" x14ac:dyDescent="0.25">
      <c r="A79" t="s">
        <v>947</v>
      </c>
      <c r="B79" t="str">
        <f t="shared" si="2"/>
        <v>[[Plane Shift]]</v>
      </c>
      <c r="C79">
        <v>7</v>
      </c>
      <c r="D79" t="s">
        <v>749</v>
      </c>
      <c r="E79" t="s">
        <v>710</v>
      </c>
      <c r="F79" t="s">
        <v>729</v>
      </c>
      <c r="G79" t="s">
        <v>730</v>
      </c>
      <c r="H79" t="s">
        <v>713</v>
      </c>
    </row>
    <row r="80" spans="1:10" x14ac:dyDescent="0.25">
      <c r="A80" t="s">
        <v>852</v>
      </c>
      <c r="B80" t="str">
        <f t="shared" si="2"/>
        <v>[[Power Word Fortify]]</v>
      </c>
      <c r="C80">
        <v>7</v>
      </c>
      <c r="D80" t="s">
        <v>709</v>
      </c>
      <c r="E80" t="s">
        <v>710</v>
      </c>
      <c r="F80" t="s">
        <v>725</v>
      </c>
      <c r="G80" t="s">
        <v>730</v>
      </c>
      <c r="H80" t="s">
        <v>740</v>
      </c>
    </row>
    <row r="81" spans="1:10" x14ac:dyDescent="0.25">
      <c r="A81" t="s">
        <v>853</v>
      </c>
      <c r="B81" t="str">
        <f t="shared" si="2"/>
        <v>[[Power Word Heal]]</v>
      </c>
      <c r="C81">
        <v>9</v>
      </c>
      <c r="D81" t="s">
        <v>709</v>
      </c>
      <c r="E81" t="s">
        <v>710</v>
      </c>
      <c r="F81" t="s">
        <v>725</v>
      </c>
      <c r="G81" t="s">
        <v>730</v>
      </c>
      <c r="H81" t="s">
        <v>740</v>
      </c>
    </row>
    <row r="82" spans="1:10" x14ac:dyDescent="0.25">
      <c r="A82" t="s">
        <v>948</v>
      </c>
      <c r="B82" t="str">
        <f t="shared" si="2"/>
        <v>[[Prayer of Healing]]</v>
      </c>
      <c r="C82">
        <v>2</v>
      </c>
      <c r="D82" t="s">
        <v>737</v>
      </c>
      <c r="E82" t="s">
        <v>746</v>
      </c>
      <c r="F82" t="s">
        <v>711</v>
      </c>
      <c r="G82" t="s">
        <v>730</v>
      </c>
      <c r="H82" t="s">
        <v>740</v>
      </c>
    </row>
    <row r="83" spans="1:10" x14ac:dyDescent="0.25">
      <c r="A83" t="s">
        <v>949</v>
      </c>
      <c r="B83" t="str">
        <f t="shared" si="2"/>
        <v>[[Protection from Energy]]</v>
      </c>
      <c r="C83">
        <v>3</v>
      </c>
      <c r="D83" t="s">
        <v>737</v>
      </c>
      <c r="E83" t="s">
        <v>710</v>
      </c>
      <c r="F83" t="s">
        <v>729</v>
      </c>
      <c r="G83" t="s">
        <v>724</v>
      </c>
      <c r="H83" t="s">
        <v>721</v>
      </c>
      <c r="I83" t="s">
        <v>722</v>
      </c>
    </row>
    <row r="84" spans="1:10" x14ac:dyDescent="0.25">
      <c r="A84" t="s">
        <v>950</v>
      </c>
      <c r="B84" t="str">
        <f t="shared" si="2"/>
        <v>[[Protection from Evil and Good]]</v>
      </c>
      <c r="C84">
        <v>1</v>
      </c>
      <c r="D84" t="s">
        <v>737</v>
      </c>
      <c r="E84" t="s">
        <v>710</v>
      </c>
      <c r="F84" t="s">
        <v>729</v>
      </c>
      <c r="G84" t="s">
        <v>746</v>
      </c>
      <c r="H84" t="s">
        <v>713</v>
      </c>
      <c r="I84" t="s">
        <v>722</v>
      </c>
    </row>
    <row r="85" spans="1:10" x14ac:dyDescent="0.25">
      <c r="A85" t="s">
        <v>951</v>
      </c>
      <c r="B85" t="str">
        <f t="shared" si="2"/>
        <v>[[Protection from Poison]]</v>
      </c>
      <c r="C85">
        <v>2</v>
      </c>
      <c r="D85" t="s">
        <v>737</v>
      </c>
      <c r="E85" t="s">
        <v>710</v>
      </c>
      <c r="F85" t="s">
        <v>729</v>
      </c>
      <c r="G85" t="s">
        <v>724</v>
      </c>
      <c r="H85" t="s">
        <v>721</v>
      </c>
    </row>
    <row r="86" spans="1:10" x14ac:dyDescent="0.25">
      <c r="A86" t="s">
        <v>952</v>
      </c>
      <c r="B86" t="str">
        <f t="shared" si="2"/>
        <v>[[Purify Food and Drink]]</v>
      </c>
      <c r="C86">
        <v>1</v>
      </c>
      <c r="D86" t="s">
        <v>718</v>
      </c>
      <c r="E86" t="s">
        <v>715</v>
      </c>
      <c r="F86" t="s">
        <v>791</v>
      </c>
      <c r="G86" t="s">
        <v>730</v>
      </c>
      <c r="H86" t="s">
        <v>721</v>
      </c>
      <c r="J86" t="s">
        <v>716</v>
      </c>
    </row>
    <row r="87" spans="1:10" x14ac:dyDescent="0.25">
      <c r="A87" t="s">
        <v>862</v>
      </c>
      <c r="B87" t="str">
        <f t="shared" si="2"/>
        <v>[[Raise Dead]]</v>
      </c>
      <c r="C87">
        <v>5</v>
      </c>
      <c r="D87" t="s">
        <v>735</v>
      </c>
      <c r="E87" t="s">
        <v>724</v>
      </c>
      <c r="F87" t="s">
        <v>729</v>
      </c>
      <c r="G87" t="s">
        <v>730</v>
      </c>
      <c r="H87" t="s">
        <v>713</v>
      </c>
    </row>
    <row r="88" spans="1:10" x14ac:dyDescent="0.25">
      <c r="A88" t="s">
        <v>864</v>
      </c>
      <c r="B88" t="str">
        <f t="shared" si="2"/>
        <v>[[Regenerate]]</v>
      </c>
      <c r="C88">
        <v>7</v>
      </c>
      <c r="D88" t="s">
        <v>718</v>
      </c>
      <c r="E88" t="s">
        <v>720</v>
      </c>
      <c r="F88" t="s">
        <v>729</v>
      </c>
      <c r="G88" t="s">
        <v>724</v>
      </c>
      <c r="H88" t="s">
        <v>713</v>
      </c>
    </row>
    <row r="89" spans="1:10" x14ac:dyDescent="0.25">
      <c r="A89" t="s">
        <v>953</v>
      </c>
      <c r="B89" t="str">
        <f t="shared" si="2"/>
        <v>[[Remove Curse]]</v>
      </c>
      <c r="C89">
        <v>3</v>
      </c>
      <c r="D89" t="s">
        <v>737</v>
      </c>
      <c r="E89" t="s">
        <v>710</v>
      </c>
      <c r="F89" t="s">
        <v>729</v>
      </c>
      <c r="G89" t="s">
        <v>730</v>
      </c>
      <c r="H89" t="s">
        <v>721</v>
      </c>
    </row>
    <row r="90" spans="1:10" x14ac:dyDescent="0.25">
      <c r="A90" t="s">
        <v>954</v>
      </c>
      <c r="B90" t="str">
        <f t="shared" si="2"/>
        <v>[[Resistance]]</v>
      </c>
      <c r="C90">
        <v>0</v>
      </c>
      <c r="D90" t="s">
        <v>737</v>
      </c>
      <c r="E90" t="s">
        <v>710</v>
      </c>
      <c r="F90" t="s">
        <v>729</v>
      </c>
      <c r="G90" t="s">
        <v>720</v>
      </c>
      <c r="H90" t="s">
        <v>721</v>
      </c>
      <c r="I90" t="s">
        <v>722</v>
      </c>
    </row>
    <row r="91" spans="1:10" x14ac:dyDescent="0.25">
      <c r="A91" t="s">
        <v>865</v>
      </c>
      <c r="B91" t="str">
        <f t="shared" si="2"/>
        <v>[[Resurrection]]</v>
      </c>
      <c r="C91">
        <v>7</v>
      </c>
      <c r="D91" t="s">
        <v>735</v>
      </c>
      <c r="E91" t="s">
        <v>724</v>
      </c>
      <c r="F91" t="s">
        <v>729</v>
      </c>
      <c r="G91" t="s">
        <v>730</v>
      </c>
      <c r="H91" t="s">
        <v>713</v>
      </c>
    </row>
    <row r="92" spans="1:10" x14ac:dyDescent="0.25">
      <c r="A92" t="s">
        <v>955</v>
      </c>
      <c r="B92" t="str">
        <f t="shared" si="2"/>
        <v>[[Revivify]]</v>
      </c>
      <c r="C92">
        <v>3</v>
      </c>
      <c r="D92" t="s">
        <v>735</v>
      </c>
      <c r="E92" t="s">
        <v>710</v>
      </c>
      <c r="F92" t="s">
        <v>729</v>
      </c>
      <c r="G92" t="s">
        <v>730</v>
      </c>
      <c r="H92" t="s">
        <v>713</v>
      </c>
    </row>
    <row r="93" spans="1:10" x14ac:dyDescent="0.25">
      <c r="A93" t="s">
        <v>956</v>
      </c>
      <c r="B93" t="str">
        <f t="shared" si="2"/>
        <v>[[Sacred Flame]]</v>
      </c>
      <c r="C93">
        <v>0</v>
      </c>
      <c r="D93" t="s">
        <v>777</v>
      </c>
      <c r="E93" t="s">
        <v>710</v>
      </c>
      <c r="F93" t="s">
        <v>725</v>
      </c>
      <c r="G93" t="s">
        <v>730</v>
      </c>
      <c r="H93" t="s">
        <v>721</v>
      </c>
    </row>
    <row r="94" spans="1:10" x14ac:dyDescent="0.25">
      <c r="A94" t="s">
        <v>957</v>
      </c>
      <c r="B94" t="str">
        <f t="shared" si="2"/>
        <v>[[Sanctuary]]</v>
      </c>
      <c r="C94">
        <v>1</v>
      </c>
      <c r="D94" t="s">
        <v>737</v>
      </c>
      <c r="E94" t="s">
        <v>804</v>
      </c>
      <c r="F94" t="s">
        <v>711</v>
      </c>
      <c r="G94" t="s">
        <v>720</v>
      </c>
      <c r="H94" t="s">
        <v>713</v>
      </c>
    </row>
    <row r="95" spans="1:10" x14ac:dyDescent="0.25">
      <c r="A95" t="s">
        <v>866</v>
      </c>
      <c r="B95" t="str">
        <f t="shared" si="2"/>
        <v>[[Scrying]]</v>
      </c>
      <c r="C95">
        <v>5</v>
      </c>
      <c r="D95" t="s">
        <v>745</v>
      </c>
      <c r="E95" t="s">
        <v>746</v>
      </c>
      <c r="F95" t="s">
        <v>738</v>
      </c>
      <c r="G95" t="s">
        <v>746</v>
      </c>
      <c r="H95" t="s">
        <v>713</v>
      </c>
      <c r="I95" t="s">
        <v>722</v>
      </c>
    </row>
    <row r="96" spans="1:10" x14ac:dyDescent="0.25">
      <c r="A96" t="s">
        <v>869</v>
      </c>
      <c r="B96" t="str">
        <f t="shared" si="2"/>
        <v>[[Sending]]</v>
      </c>
      <c r="C96">
        <v>3</v>
      </c>
      <c r="D96" t="s">
        <v>745</v>
      </c>
      <c r="E96" t="s">
        <v>710</v>
      </c>
      <c r="F96" t="s">
        <v>870</v>
      </c>
      <c r="G96" t="s">
        <v>730</v>
      </c>
      <c r="H96" t="s">
        <v>713</v>
      </c>
    </row>
    <row r="97" spans="1:10" x14ac:dyDescent="0.25">
      <c r="A97" t="s">
        <v>958</v>
      </c>
      <c r="B97" t="str">
        <f t="shared" ref="B97:B117" si="3">"[["&amp;A97&amp;"]]"</f>
        <v>[[Shield of Faith]]</v>
      </c>
      <c r="C97">
        <v>1</v>
      </c>
      <c r="D97" t="s">
        <v>737</v>
      </c>
      <c r="E97" t="s">
        <v>804</v>
      </c>
      <c r="F97" t="s">
        <v>725</v>
      </c>
      <c r="G97" t="s">
        <v>746</v>
      </c>
      <c r="H97" t="s">
        <v>713</v>
      </c>
      <c r="I97" t="s">
        <v>722</v>
      </c>
    </row>
    <row r="98" spans="1:10" x14ac:dyDescent="0.25">
      <c r="A98" t="s">
        <v>872</v>
      </c>
      <c r="B98" t="str">
        <f t="shared" si="3"/>
        <v>[[Silence]]</v>
      </c>
      <c r="C98">
        <v>2</v>
      </c>
      <c r="D98" t="s">
        <v>751</v>
      </c>
      <c r="E98" t="s">
        <v>715</v>
      </c>
      <c r="F98" t="s">
        <v>719</v>
      </c>
      <c r="G98" t="s">
        <v>746</v>
      </c>
      <c r="H98" t="s">
        <v>721</v>
      </c>
      <c r="I98" t="s">
        <v>722</v>
      </c>
      <c r="J98" t="s">
        <v>716</v>
      </c>
    </row>
    <row r="99" spans="1:10" x14ac:dyDescent="0.25">
      <c r="A99" t="s">
        <v>959</v>
      </c>
      <c r="B99" t="str">
        <f t="shared" si="3"/>
        <v>[[Spare the Dying]]</v>
      </c>
      <c r="C99">
        <v>0</v>
      </c>
      <c r="D99" t="s">
        <v>735</v>
      </c>
      <c r="E99" t="s">
        <v>710</v>
      </c>
      <c r="F99" t="s">
        <v>960</v>
      </c>
      <c r="G99" t="s">
        <v>730</v>
      </c>
      <c r="H99" t="s">
        <v>721</v>
      </c>
    </row>
    <row r="100" spans="1:10" x14ac:dyDescent="0.25">
      <c r="A100" t="s">
        <v>877</v>
      </c>
      <c r="B100" t="str">
        <f t="shared" si="3"/>
        <v>[[Speak with Dead]]</v>
      </c>
      <c r="C100">
        <v>3</v>
      </c>
      <c r="D100" t="s">
        <v>735</v>
      </c>
      <c r="E100" t="s">
        <v>710</v>
      </c>
      <c r="F100" t="s">
        <v>791</v>
      </c>
      <c r="G100" t="s">
        <v>746</v>
      </c>
      <c r="H100" t="s">
        <v>713</v>
      </c>
    </row>
    <row r="101" spans="1:10" x14ac:dyDescent="0.25">
      <c r="A101" t="s">
        <v>961</v>
      </c>
      <c r="B101" t="str">
        <f t="shared" si="3"/>
        <v>[[Spirit Guardians]]</v>
      </c>
      <c r="C101">
        <v>3</v>
      </c>
      <c r="D101" t="s">
        <v>749</v>
      </c>
      <c r="E101" t="s">
        <v>710</v>
      </c>
      <c r="F101" t="s">
        <v>738</v>
      </c>
      <c r="G101" t="s">
        <v>746</v>
      </c>
      <c r="H101" t="s">
        <v>713</v>
      </c>
      <c r="I101" t="s">
        <v>722</v>
      </c>
    </row>
    <row r="102" spans="1:10" x14ac:dyDescent="0.25">
      <c r="A102" t="s">
        <v>962</v>
      </c>
      <c r="B102" t="str">
        <f t="shared" si="3"/>
        <v>[[Spiritual Weapon]]</v>
      </c>
      <c r="C102">
        <v>2</v>
      </c>
      <c r="D102" t="s">
        <v>777</v>
      </c>
      <c r="E102" t="s">
        <v>804</v>
      </c>
      <c r="F102" t="s">
        <v>725</v>
      </c>
      <c r="G102" t="s">
        <v>720</v>
      </c>
      <c r="H102" t="s">
        <v>721</v>
      </c>
      <c r="I102" t="s">
        <v>722</v>
      </c>
    </row>
    <row r="103" spans="1:10" x14ac:dyDescent="0.25">
      <c r="A103" t="s">
        <v>963</v>
      </c>
      <c r="B103" t="str">
        <f t="shared" si="3"/>
        <v>[[Stone Shape]]</v>
      </c>
      <c r="C103">
        <v>4</v>
      </c>
      <c r="D103" t="s">
        <v>718</v>
      </c>
      <c r="E103" t="s">
        <v>710</v>
      </c>
      <c r="F103" t="s">
        <v>729</v>
      </c>
      <c r="G103" t="s">
        <v>730</v>
      </c>
      <c r="H103" t="s">
        <v>713</v>
      </c>
    </row>
    <row r="104" spans="1:10" x14ac:dyDescent="0.25">
      <c r="A104" t="s">
        <v>964</v>
      </c>
      <c r="B104" t="str">
        <f t="shared" si="3"/>
        <v>[[Summon Celestial]]</v>
      </c>
      <c r="C104">
        <v>5</v>
      </c>
      <c r="D104" t="s">
        <v>749</v>
      </c>
      <c r="E104" t="s">
        <v>710</v>
      </c>
      <c r="F104" t="s">
        <v>756</v>
      </c>
      <c r="G104" t="s">
        <v>724</v>
      </c>
      <c r="H104" t="s">
        <v>713</v>
      </c>
      <c r="I104" t="s">
        <v>722</v>
      </c>
    </row>
    <row r="105" spans="1:10" x14ac:dyDescent="0.25">
      <c r="A105" t="s">
        <v>965</v>
      </c>
      <c r="B105" t="str">
        <f t="shared" si="3"/>
        <v>[[Sunbeam]]</v>
      </c>
      <c r="C105">
        <v>6</v>
      </c>
      <c r="D105" t="s">
        <v>777</v>
      </c>
      <c r="E105" t="s">
        <v>710</v>
      </c>
      <c r="F105" t="s">
        <v>738</v>
      </c>
      <c r="G105" t="s">
        <v>720</v>
      </c>
      <c r="H105" t="s">
        <v>713</v>
      </c>
      <c r="I105" t="s">
        <v>722</v>
      </c>
    </row>
    <row r="106" spans="1:10" x14ac:dyDescent="0.25">
      <c r="A106" t="s">
        <v>966</v>
      </c>
      <c r="B106" t="str">
        <f t="shared" si="3"/>
        <v>[[Sunburst]]</v>
      </c>
      <c r="C106">
        <v>8</v>
      </c>
      <c r="D106" t="s">
        <v>777</v>
      </c>
      <c r="E106" t="s">
        <v>710</v>
      </c>
      <c r="F106" t="s">
        <v>733</v>
      </c>
      <c r="G106" t="s">
        <v>730</v>
      </c>
      <c r="H106" t="s">
        <v>713</v>
      </c>
    </row>
    <row r="107" spans="1:10" x14ac:dyDescent="0.25">
      <c r="A107" t="s">
        <v>882</v>
      </c>
      <c r="B107" t="str">
        <f t="shared" si="3"/>
        <v>[[Symbol]]</v>
      </c>
      <c r="C107">
        <v>7</v>
      </c>
      <c r="D107" t="s">
        <v>737</v>
      </c>
      <c r="E107" t="s">
        <v>720</v>
      </c>
      <c r="F107" t="s">
        <v>729</v>
      </c>
      <c r="G107" t="s">
        <v>797</v>
      </c>
      <c r="H107" t="s">
        <v>713</v>
      </c>
    </row>
    <row r="108" spans="1:10" x14ac:dyDescent="0.25">
      <c r="A108" t="s">
        <v>967</v>
      </c>
      <c r="B108" t="str">
        <f t="shared" si="3"/>
        <v>[[Thaumaturgy]]</v>
      </c>
      <c r="C108">
        <v>0</v>
      </c>
      <c r="D108" t="s">
        <v>718</v>
      </c>
      <c r="E108" t="s">
        <v>710</v>
      </c>
      <c r="F108" t="s">
        <v>711</v>
      </c>
      <c r="G108" t="s">
        <v>720</v>
      </c>
      <c r="H108" t="s">
        <v>740</v>
      </c>
    </row>
    <row r="109" spans="1:10" x14ac:dyDescent="0.25">
      <c r="A109" t="s">
        <v>968</v>
      </c>
      <c r="B109" t="str">
        <f t="shared" si="3"/>
        <v>[[Toll the Dead]]</v>
      </c>
      <c r="C109">
        <v>0</v>
      </c>
      <c r="D109" t="s">
        <v>735</v>
      </c>
      <c r="E109" t="s">
        <v>710</v>
      </c>
      <c r="F109" t="s">
        <v>725</v>
      </c>
      <c r="G109" t="s">
        <v>730</v>
      </c>
      <c r="H109" t="s">
        <v>721</v>
      </c>
    </row>
    <row r="110" spans="1:10" x14ac:dyDescent="0.25">
      <c r="A110" t="s">
        <v>889</v>
      </c>
      <c r="B110" t="str">
        <f t="shared" si="3"/>
        <v>[[Tongues]]</v>
      </c>
      <c r="C110">
        <v>3</v>
      </c>
      <c r="D110" t="s">
        <v>745</v>
      </c>
      <c r="E110" t="s">
        <v>710</v>
      </c>
      <c r="F110" t="s">
        <v>729</v>
      </c>
      <c r="G110" t="s">
        <v>724</v>
      </c>
      <c r="H110" t="s">
        <v>781</v>
      </c>
    </row>
    <row r="111" spans="1:10" x14ac:dyDescent="0.25">
      <c r="A111" t="s">
        <v>969</v>
      </c>
      <c r="B111" t="str">
        <f t="shared" si="3"/>
        <v>[[True Resurrection]]</v>
      </c>
      <c r="C111">
        <v>9</v>
      </c>
      <c r="D111" t="s">
        <v>735</v>
      </c>
      <c r="E111" t="s">
        <v>724</v>
      </c>
      <c r="F111" t="s">
        <v>729</v>
      </c>
      <c r="G111" t="s">
        <v>730</v>
      </c>
      <c r="H111" t="s">
        <v>713</v>
      </c>
    </row>
    <row r="112" spans="1:10" x14ac:dyDescent="0.25">
      <c r="A112" t="s">
        <v>891</v>
      </c>
      <c r="B112" t="str">
        <f t="shared" si="3"/>
        <v>[[True Seeing]]</v>
      </c>
      <c r="C112">
        <v>6</v>
      </c>
      <c r="D112" t="s">
        <v>745</v>
      </c>
      <c r="E112" t="s">
        <v>710</v>
      </c>
      <c r="F112" t="s">
        <v>729</v>
      </c>
      <c r="G112" t="s">
        <v>724</v>
      </c>
      <c r="H112" t="s">
        <v>713</v>
      </c>
    </row>
    <row r="113" spans="1:10" x14ac:dyDescent="0.25">
      <c r="A113" t="s">
        <v>970</v>
      </c>
      <c r="B113" t="str">
        <f t="shared" si="3"/>
        <v>[[Warding Bond]]</v>
      </c>
      <c r="C113">
        <v>2</v>
      </c>
      <c r="D113" t="s">
        <v>737</v>
      </c>
      <c r="E113" t="s">
        <v>710</v>
      </c>
      <c r="F113" t="s">
        <v>729</v>
      </c>
      <c r="G113" t="s">
        <v>724</v>
      </c>
      <c r="H113" t="s">
        <v>713</v>
      </c>
    </row>
    <row r="114" spans="1:10" x14ac:dyDescent="0.25">
      <c r="A114" t="s">
        <v>971</v>
      </c>
      <c r="B114" t="str">
        <f t="shared" si="3"/>
        <v>[[Water Walk]]</v>
      </c>
      <c r="C114">
        <v>3</v>
      </c>
      <c r="D114" t="s">
        <v>718</v>
      </c>
      <c r="E114" t="s">
        <v>715</v>
      </c>
      <c r="F114" t="s">
        <v>711</v>
      </c>
      <c r="G114" t="s">
        <v>724</v>
      </c>
      <c r="H114" t="s">
        <v>713</v>
      </c>
      <c r="J114" t="s">
        <v>716</v>
      </c>
    </row>
    <row r="115" spans="1:10" x14ac:dyDescent="0.25">
      <c r="A115" t="s">
        <v>972</v>
      </c>
      <c r="B115" t="str">
        <f t="shared" si="3"/>
        <v>[[Word of Radiance]]</v>
      </c>
      <c r="C115">
        <v>0</v>
      </c>
      <c r="D115" t="s">
        <v>777</v>
      </c>
      <c r="E115" t="s">
        <v>710</v>
      </c>
      <c r="F115" t="s">
        <v>738</v>
      </c>
      <c r="G115" t="s">
        <v>730</v>
      </c>
      <c r="H115" t="s">
        <v>781</v>
      </c>
    </row>
    <row r="116" spans="1:10" x14ac:dyDescent="0.25">
      <c r="A116" t="s">
        <v>973</v>
      </c>
      <c r="B116" t="str">
        <f t="shared" si="3"/>
        <v>[[Word of Recall]]</v>
      </c>
      <c r="C116">
        <v>6</v>
      </c>
      <c r="D116" t="s">
        <v>749</v>
      </c>
      <c r="E116" t="s">
        <v>710</v>
      </c>
      <c r="F116" t="s">
        <v>974</v>
      </c>
      <c r="G116" t="s">
        <v>730</v>
      </c>
      <c r="H116" t="s">
        <v>740</v>
      </c>
    </row>
    <row r="117" spans="1:10" x14ac:dyDescent="0.25">
      <c r="A117" t="s">
        <v>896</v>
      </c>
      <c r="B117" t="str">
        <f t="shared" si="3"/>
        <v>[[Zone of Truth]]</v>
      </c>
      <c r="C117">
        <v>2</v>
      </c>
      <c r="D117" t="s">
        <v>709</v>
      </c>
      <c r="E117" t="s">
        <v>710</v>
      </c>
      <c r="F117" t="s">
        <v>725</v>
      </c>
      <c r="G117" t="s">
        <v>746</v>
      </c>
      <c r="H117" t="s">
        <v>721</v>
      </c>
    </row>
  </sheetData>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437AA-6199-4F68-98AC-631DA46E19A9}">
  <sheetPr codeName="Sheet4"/>
  <dimension ref="A1:J135"/>
  <sheetViews>
    <sheetView topLeftCell="A112" workbookViewId="0">
      <selection activeCell="B1" sqref="B1:J135"/>
    </sheetView>
  </sheetViews>
  <sheetFormatPr defaultRowHeight="15" x14ac:dyDescent="0.25"/>
  <sheetData>
    <row r="1" spans="1:10" x14ac:dyDescent="0.25">
      <c r="A1" t="s">
        <v>707</v>
      </c>
      <c r="B1" t="str">
        <f t="shared" ref="B1:B32" si="0">"[["&amp;A1&amp;"]]"</f>
        <v>[[Aid]]</v>
      </c>
      <c r="C1">
        <v>2</v>
      </c>
      <c r="D1" t="s">
        <v>737</v>
      </c>
      <c r="E1" t="s">
        <v>710</v>
      </c>
      <c r="F1" t="s">
        <v>711</v>
      </c>
      <c r="G1" t="s">
        <v>728</v>
      </c>
      <c r="H1" t="s">
        <v>713</v>
      </c>
    </row>
    <row r="2" spans="1:10" x14ac:dyDescent="0.25">
      <c r="A2" t="s">
        <v>708</v>
      </c>
      <c r="B2" t="str">
        <f t="shared" si="0"/>
        <v>[[Animal Friendship]]</v>
      </c>
      <c r="C2">
        <v>1</v>
      </c>
      <c r="D2" t="s">
        <v>709</v>
      </c>
      <c r="E2" t="s">
        <v>710</v>
      </c>
      <c r="F2" t="s">
        <v>711</v>
      </c>
      <c r="G2" t="s">
        <v>712</v>
      </c>
      <c r="H2" t="s">
        <v>713</v>
      </c>
    </row>
    <row r="3" spans="1:10" x14ac:dyDescent="0.25">
      <c r="A3" t="s">
        <v>714</v>
      </c>
      <c r="B3" t="str">
        <f t="shared" si="0"/>
        <v>[[Animal Messenger]]</v>
      </c>
      <c r="C3">
        <v>2</v>
      </c>
      <c r="D3" t="s">
        <v>709</v>
      </c>
      <c r="E3" t="s">
        <v>715</v>
      </c>
      <c r="F3" t="s">
        <v>711</v>
      </c>
      <c r="G3" t="s">
        <v>712</v>
      </c>
      <c r="H3" t="s">
        <v>713</v>
      </c>
      <c r="J3" t="s">
        <v>716</v>
      </c>
    </row>
    <row r="4" spans="1:10" x14ac:dyDescent="0.25">
      <c r="A4" t="s">
        <v>975</v>
      </c>
      <c r="B4" t="str">
        <f t="shared" si="0"/>
        <v>[[Animal Shapes]]</v>
      </c>
      <c r="C4">
        <v>8</v>
      </c>
      <c r="D4" t="s">
        <v>718</v>
      </c>
      <c r="E4" t="s">
        <v>710</v>
      </c>
      <c r="F4" t="s">
        <v>711</v>
      </c>
      <c r="G4" t="s">
        <v>712</v>
      </c>
      <c r="H4" t="s">
        <v>721</v>
      </c>
    </row>
    <row r="5" spans="1:10" x14ac:dyDescent="0.25">
      <c r="A5" t="s">
        <v>976</v>
      </c>
      <c r="B5" t="str">
        <f t="shared" si="0"/>
        <v>[[Antilife Shell]]</v>
      </c>
      <c r="C5">
        <v>5</v>
      </c>
      <c r="D5" t="s">
        <v>737</v>
      </c>
      <c r="E5" t="s">
        <v>710</v>
      </c>
      <c r="F5" t="s">
        <v>738</v>
      </c>
      <c r="G5" t="s">
        <v>724</v>
      </c>
      <c r="H5" t="s">
        <v>721</v>
      </c>
      <c r="I5" t="s">
        <v>722</v>
      </c>
    </row>
    <row r="6" spans="1:10" x14ac:dyDescent="0.25">
      <c r="A6" t="s">
        <v>723</v>
      </c>
      <c r="B6" t="str">
        <f t="shared" si="0"/>
        <v>[[Antipathy/Sympathy]]</v>
      </c>
      <c r="C6">
        <v>8</v>
      </c>
      <c r="D6" t="s">
        <v>709</v>
      </c>
      <c r="E6" t="s">
        <v>724</v>
      </c>
      <c r="F6" t="s">
        <v>725</v>
      </c>
      <c r="G6" t="s">
        <v>726</v>
      </c>
      <c r="H6" t="s">
        <v>713</v>
      </c>
    </row>
    <row r="7" spans="1:10" x14ac:dyDescent="0.25">
      <c r="A7" t="s">
        <v>900</v>
      </c>
      <c r="B7" t="str">
        <f t="shared" si="0"/>
        <v>[[Augury]]</v>
      </c>
      <c r="C7">
        <v>2</v>
      </c>
      <c r="D7" t="s">
        <v>745</v>
      </c>
      <c r="E7" t="s">
        <v>812</v>
      </c>
      <c r="F7" t="s">
        <v>738</v>
      </c>
      <c r="G7" t="s">
        <v>730</v>
      </c>
      <c r="H7" t="s">
        <v>713</v>
      </c>
      <c r="J7" t="s">
        <v>716</v>
      </c>
    </row>
    <row r="8" spans="1:10" x14ac:dyDescent="0.25">
      <c r="A8" t="s">
        <v>903</v>
      </c>
      <c r="B8" t="str">
        <f t="shared" si="0"/>
        <v>[[Aura of Vitality]]</v>
      </c>
      <c r="C8">
        <v>3</v>
      </c>
      <c r="D8" t="s">
        <v>737</v>
      </c>
      <c r="E8" t="s">
        <v>710</v>
      </c>
      <c r="F8" t="s">
        <v>738</v>
      </c>
      <c r="G8" t="s">
        <v>720</v>
      </c>
      <c r="H8" t="s">
        <v>740</v>
      </c>
      <c r="I8" t="s">
        <v>722</v>
      </c>
    </row>
    <row r="9" spans="1:10" x14ac:dyDescent="0.25">
      <c r="A9" t="s">
        <v>727</v>
      </c>
      <c r="B9" t="str">
        <f t="shared" si="0"/>
        <v>[[Awaken]]</v>
      </c>
      <c r="C9">
        <v>5</v>
      </c>
      <c r="D9" t="s">
        <v>718</v>
      </c>
      <c r="E9" t="s">
        <v>728</v>
      </c>
      <c r="F9" t="s">
        <v>729</v>
      </c>
      <c r="G9" t="s">
        <v>730</v>
      </c>
      <c r="H9" t="s">
        <v>713</v>
      </c>
    </row>
    <row r="10" spans="1:10" x14ac:dyDescent="0.25">
      <c r="A10" t="s">
        <v>977</v>
      </c>
      <c r="B10" t="str">
        <f t="shared" si="0"/>
        <v>[[Barkskin]]</v>
      </c>
      <c r="C10">
        <v>2</v>
      </c>
      <c r="D10" t="s">
        <v>718</v>
      </c>
      <c r="E10" t="s">
        <v>804</v>
      </c>
      <c r="F10" t="s">
        <v>729</v>
      </c>
      <c r="G10" t="s">
        <v>724</v>
      </c>
      <c r="H10" t="s">
        <v>713</v>
      </c>
    </row>
    <row r="11" spans="1:10" x14ac:dyDescent="0.25">
      <c r="A11" t="s">
        <v>978</v>
      </c>
      <c r="B11" t="str">
        <f t="shared" si="0"/>
        <v>[[Beast Sense]]</v>
      </c>
      <c r="C11">
        <v>2</v>
      </c>
      <c r="D11" t="s">
        <v>745</v>
      </c>
      <c r="E11" t="s">
        <v>715</v>
      </c>
      <c r="F11" t="s">
        <v>729</v>
      </c>
      <c r="G11" t="s">
        <v>724</v>
      </c>
      <c r="H11" t="s">
        <v>840</v>
      </c>
      <c r="I11" t="s">
        <v>722</v>
      </c>
      <c r="J11" t="s">
        <v>716</v>
      </c>
    </row>
    <row r="12" spans="1:10" x14ac:dyDescent="0.25">
      <c r="A12" t="s">
        <v>732</v>
      </c>
      <c r="B12" t="str">
        <f t="shared" si="0"/>
        <v>[[Befuddlement]]</v>
      </c>
      <c r="C12">
        <v>8</v>
      </c>
      <c r="D12" t="s">
        <v>709</v>
      </c>
      <c r="E12" t="s">
        <v>710</v>
      </c>
      <c r="F12" t="s">
        <v>733</v>
      </c>
      <c r="G12" t="s">
        <v>730</v>
      </c>
      <c r="H12" t="s">
        <v>713</v>
      </c>
    </row>
    <row r="13" spans="1:10" x14ac:dyDescent="0.25">
      <c r="A13" t="s">
        <v>979</v>
      </c>
      <c r="B13" t="str">
        <f t="shared" si="0"/>
        <v>[[Blight]]</v>
      </c>
      <c r="C13">
        <v>4</v>
      </c>
      <c r="D13" t="s">
        <v>735</v>
      </c>
      <c r="E13" t="s">
        <v>710</v>
      </c>
      <c r="F13" t="s">
        <v>711</v>
      </c>
      <c r="G13" t="s">
        <v>730</v>
      </c>
      <c r="H13" t="s">
        <v>721</v>
      </c>
    </row>
    <row r="14" spans="1:10" x14ac:dyDescent="0.25">
      <c r="A14" t="s">
        <v>980</v>
      </c>
      <c r="B14" t="str">
        <f t="shared" si="0"/>
        <v>[[Call Lightning]]</v>
      </c>
      <c r="C14">
        <v>3</v>
      </c>
      <c r="D14" t="s">
        <v>749</v>
      </c>
      <c r="E14" t="s">
        <v>710</v>
      </c>
      <c r="F14" t="s">
        <v>719</v>
      </c>
      <c r="G14" t="s">
        <v>746</v>
      </c>
      <c r="H14" t="s">
        <v>721</v>
      </c>
      <c r="I14" t="s">
        <v>722</v>
      </c>
    </row>
    <row r="15" spans="1:10" x14ac:dyDescent="0.25">
      <c r="A15" t="s">
        <v>742</v>
      </c>
      <c r="B15" t="str">
        <f t="shared" si="0"/>
        <v>[[Charm Monster]]</v>
      </c>
      <c r="C15">
        <v>4</v>
      </c>
      <c r="D15" t="s">
        <v>709</v>
      </c>
      <c r="E15" t="s">
        <v>710</v>
      </c>
      <c r="F15" t="s">
        <v>711</v>
      </c>
      <c r="G15" t="s">
        <v>724</v>
      </c>
      <c r="H15" t="s">
        <v>721</v>
      </c>
    </row>
    <row r="16" spans="1:10" x14ac:dyDescent="0.25">
      <c r="A16" t="s">
        <v>743</v>
      </c>
      <c r="B16" t="str">
        <f t="shared" si="0"/>
        <v>[[Charm Person]]</v>
      </c>
      <c r="C16">
        <v>1</v>
      </c>
      <c r="D16" t="s">
        <v>709</v>
      </c>
      <c r="E16" t="s">
        <v>710</v>
      </c>
      <c r="F16" t="s">
        <v>711</v>
      </c>
      <c r="G16" t="s">
        <v>724</v>
      </c>
      <c r="H16" t="s">
        <v>721</v>
      </c>
    </row>
    <row r="17" spans="1:10" x14ac:dyDescent="0.25">
      <c r="A17" t="s">
        <v>981</v>
      </c>
      <c r="B17" t="str">
        <f t="shared" si="0"/>
        <v>[[Commune with Nature]]</v>
      </c>
      <c r="C17">
        <v>5</v>
      </c>
      <c r="D17" t="s">
        <v>745</v>
      </c>
      <c r="E17" t="s">
        <v>812</v>
      </c>
      <c r="F17" t="s">
        <v>738</v>
      </c>
      <c r="G17" t="s">
        <v>730</v>
      </c>
      <c r="H17" t="s">
        <v>721</v>
      </c>
      <c r="J17" t="s">
        <v>716</v>
      </c>
    </row>
    <row r="18" spans="1:10" x14ac:dyDescent="0.25">
      <c r="A18" t="s">
        <v>982</v>
      </c>
      <c r="B18" t="str">
        <f t="shared" si="0"/>
        <v>[[Cone of Cold]]</v>
      </c>
      <c r="C18">
        <v>5</v>
      </c>
      <c r="D18" t="s">
        <v>777</v>
      </c>
      <c r="E18" t="s">
        <v>710</v>
      </c>
      <c r="F18" t="s">
        <v>738</v>
      </c>
      <c r="G18" t="s">
        <v>730</v>
      </c>
      <c r="H18" t="s">
        <v>713</v>
      </c>
    </row>
    <row r="19" spans="1:10" x14ac:dyDescent="0.25">
      <c r="A19" t="s">
        <v>755</v>
      </c>
      <c r="B19" t="str">
        <f t="shared" si="0"/>
        <v>[[Confusion]]</v>
      </c>
      <c r="C19">
        <v>4</v>
      </c>
      <c r="D19" t="s">
        <v>709</v>
      </c>
      <c r="E19" t="s">
        <v>710</v>
      </c>
      <c r="F19" t="s">
        <v>756</v>
      </c>
      <c r="G19" t="s">
        <v>720</v>
      </c>
      <c r="H19" t="s">
        <v>713</v>
      </c>
      <c r="I19" t="s">
        <v>722</v>
      </c>
    </row>
    <row r="20" spans="1:10" x14ac:dyDescent="0.25">
      <c r="A20" t="s">
        <v>983</v>
      </c>
      <c r="B20" t="str">
        <f t="shared" si="0"/>
        <v>[[Conjure Animals]]</v>
      </c>
      <c r="C20">
        <v>3</v>
      </c>
      <c r="D20" t="s">
        <v>749</v>
      </c>
      <c r="E20" t="s">
        <v>710</v>
      </c>
      <c r="F20" t="s">
        <v>725</v>
      </c>
      <c r="G20" t="s">
        <v>746</v>
      </c>
      <c r="H20" t="s">
        <v>721</v>
      </c>
      <c r="I20" t="s">
        <v>722</v>
      </c>
    </row>
    <row r="21" spans="1:10" x14ac:dyDescent="0.25">
      <c r="A21" t="s">
        <v>984</v>
      </c>
      <c r="B21" t="str">
        <f t="shared" si="0"/>
        <v>[[Conjure Elemental]]</v>
      </c>
      <c r="C21">
        <v>5</v>
      </c>
      <c r="D21" t="s">
        <v>749</v>
      </c>
      <c r="E21" t="s">
        <v>710</v>
      </c>
      <c r="F21" t="s">
        <v>725</v>
      </c>
      <c r="G21" t="s">
        <v>746</v>
      </c>
      <c r="H21" t="s">
        <v>721</v>
      </c>
      <c r="I21" t="s">
        <v>722</v>
      </c>
    </row>
    <row r="22" spans="1:10" x14ac:dyDescent="0.25">
      <c r="A22" t="s">
        <v>985</v>
      </c>
      <c r="B22" t="str">
        <f t="shared" si="0"/>
        <v>[[Conjure Fey]]</v>
      </c>
      <c r="C22">
        <v>6</v>
      </c>
      <c r="D22" t="s">
        <v>749</v>
      </c>
      <c r="E22" t="s">
        <v>710</v>
      </c>
      <c r="F22" t="s">
        <v>725</v>
      </c>
      <c r="G22" t="s">
        <v>746</v>
      </c>
      <c r="H22" t="s">
        <v>721</v>
      </c>
      <c r="I22" t="s">
        <v>722</v>
      </c>
    </row>
    <row r="23" spans="1:10" x14ac:dyDescent="0.25">
      <c r="A23" t="s">
        <v>986</v>
      </c>
      <c r="B23" t="str">
        <f t="shared" si="0"/>
        <v>[[Conjure Minor Elementals]]</v>
      </c>
      <c r="C23">
        <v>4</v>
      </c>
      <c r="D23" t="s">
        <v>749</v>
      </c>
      <c r="E23" t="s">
        <v>710</v>
      </c>
      <c r="F23" t="s">
        <v>738</v>
      </c>
      <c r="G23" t="s">
        <v>746</v>
      </c>
      <c r="H23" t="s">
        <v>721</v>
      </c>
      <c r="I23" t="s">
        <v>722</v>
      </c>
    </row>
    <row r="24" spans="1:10" x14ac:dyDescent="0.25">
      <c r="A24" t="s">
        <v>987</v>
      </c>
      <c r="B24" t="str">
        <f t="shared" si="0"/>
        <v>[[Conjure Woodland Beings]]</v>
      </c>
      <c r="C24">
        <v>4</v>
      </c>
      <c r="D24" t="s">
        <v>749</v>
      </c>
      <c r="E24" t="s">
        <v>710</v>
      </c>
      <c r="F24" t="s">
        <v>738</v>
      </c>
      <c r="G24" t="s">
        <v>746</v>
      </c>
      <c r="H24" t="s">
        <v>721</v>
      </c>
      <c r="I24" t="s">
        <v>722</v>
      </c>
    </row>
    <row r="25" spans="1:10" x14ac:dyDescent="0.25">
      <c r="A25" t="s">
        <v>911</v>
      </c>
      <c r="B25" t="str">
        <f t="shared" si="0"/>
        <v>[[Contagion]]</v>
      </c>
      <c r="C25">
        <v>5</v>
      </c>
      <c r="D25" t="s">
        <v>735</v>
      </c>
      <c r="E25" t="s">
        <v>710</v>
      </c>
      <c r="F25" t="s">
        <v>729</v>
      </c>
      <c r="G25" t="s">
        <v>912</v>
      </c>
      <c r="H25" t="s">
        <v>721</v>
      </c>
    </row>
    <row r="26" spans="1:10" x14ac:dyDescent="0.25">
      <c r="A26" t="s">
        <v>913</v>
      </c>
      <c r="B26" t="str">
        <f t="shared" si="0"/>
        <v>[[Continual Flame]]</v>
      </c>
      <c r="C26">
        <v>2</v>
      </c>
      <c r="D26" t="s">
        <v>777</v>
      </c>
      <c r="E26" t="s">
        <v>710</v>
      </c>
      <c r="F26" t="s">
        <v>729</v>
      </c>
      <c r="G26" t="s">
        <v>826</v>
      </c>
      <c r="H26" t="s">
        <v>713</v>
      </c>
    </row>
    <row r="27" spans="1:10" x14ac:dyDescent="0.25">
      <c r="A27" t="s">
        <v>914</v>
      </c>
      <c r="B27" t="str">
        <f t="shared" si="0"/>
        <v>[[Control Water]]</v>
      </c>
      <c r="C27">
        <v>4</v>
      </c>
      <c r="D27" t="s">
        <v>718</v>
      </c>
      <c r="E27" t="s">
        <v>710</v>
      </c>
      <c r="F27" t="s">
        <v>802</v>
      </c>
      <c r="G27" t="s">
        <v>746</v>
      </c>
      <c r="H27" t="s">
        <v>713</v>
      </c>
      <c r="I27" t="s">
        <v>722</v>
      </c>
    </row>
    <row r="28" spans="1:10" x14ac:dyDescent="0.25">
      <c r="A28" t="s">
        <v>915</v>
      </c>
      <c r="B28" t="str">
        <f t="shared" si="0"/>
        <v>[[Control Weather]]</v>
      </c>
      <c r="C28">
        <v>8</v>
      </c>
      <c r="D28" t="s">
        <v>718</v>
      </c>
      <c r="E28" t="s">
        <v>746</v>
      </c>
      <c r="F28" t="s">
        <v>738</v>
      </c>
      <c r="G28" t="s">
        <v>728</v>
      </c>
      <c r="H28" t="s">
        <v>713</v>
      </c>
      <c r="I28" t="s">
        <v>722</v>
      </c>
    </row>
    <row r="29" spans="1:10" x14ac:dyDescent="0.25">
      <c r="A29" t="s">
        <v>917</v>
      </c>
      <c r="B29" t="str">
        <f t="shared" si="0"/>
        <v>[[Create or Destroy Water]]</v>
      </c>
      <c r="C29">
        <v>1</v>
      </c>
      <c r="D29" t="s">
        <v>718</v>
      </c>
      <c r="E29" t="s">
        <v>710</v>
      </c>
      <c r="F29" t="s">
        <v>711</v>
      </c>
      <c r="G29" t="s">
        <v>730</v>
      </c>
      <c r="H29" t="s">
        <v>713</v>
      </c>
    </row>
    <row r="30" spans="1:10" x14ac:dyDescent="0.25">
      <c r="A30" t="s">
        <v>758</v>
      </c>
      <c r="B30" t="str">
        <f t="shared" si="0"/>
        <v>[[Cure Wounds]]</v>
      </c>
      <c r="C30">
        <v>1</v>
      </c>
      <c r="D30" t="s">
        <v>737</v>
      </c>
      <c r="E30" t="s">
        <v>710</v>
      </c>
      <c r="F30" t="s">
        <v>729</v>
      </c>
      <c r="G30" t="s">
        <v>730</v>
      </c>
      <c r="H30" t="s">
        <v>721</v>
      </c>
    </row>
    <row r="31" spans="1:10" x14ac:dyDescent="0.25">
      <c r="A31" t="s">
        <v>988</v>
      </c>
      <c r="B31" t="str">
        <f t="shared" si="0"/>
        <v>[[Darkvision]]</v>
      </c>
      <c r="C31">
        <v>2</v>
      </c>
      <c r="D31" t="s">
        <v>718</v>
      </c>
      <c r="E31" t="s">
        <v>710</v>
      </c>
      <c r="F31" t="s">
        <v>729</v>
      </c>
      <c r="G31" t="s">
        <v>728</v>
      </c>
      <c r="H31" t="s">
        <v>713</v>
      </c>
    </row>
    <row r="32" spans="1:10" x14ac:dyDescent="0.25">
      <c r="A32" t="s">
        <v>919</v>
      </c>
      <c r="B32" t="str">
        <f t="shared" si="0"/>
        <v>[[Daylight]]</v>
      </c>
      <c r="C32">
        <v>3</v>
      </c>
      <c r="D32" t="s">
        <v>777</v>
      </c>
      <c r="E32" t="s">
        <v>710</v>
      </c>
      <c r="F32" t="s">
        <v>725</v>
      </c>
      <c r="G32" t="s">
        <v>724</v>
      </c>
      <c r="H32" t="s">
        <v>721</v>
      </c>
    </row>
    <row r="33" spans="1:10" x14ac:dyDescent="0.25">
      <c r="A33" t="s">
        <v>760</v>
      </c>
      <c r="B33" t="str">
        <f t="shared" ref="B33:B64" si="1">"[["&amp;A33&amp;"]]"</f>
        <v>[[Detect Magic]]</v>
      </c>
      <c r="C33">
        <v>1</v>
      </c>
      <c r="D33" t="s">
        <v>745</v>
      </c>
      <c r="E33" t="s">
        <v>715</v>
      </c>
      <c r="F33" t="s">
        <v>738</v>
      </c>
      <c r="G33" t="s">
        <v>746</v>
      </c>
      <c r="H33" t="s">
        <v>721</v>
      </c>
      <c r="I33" t="s">
        <v>722</v>
      </c>
      <c r="J33" t="s">
        <v>716</v>
      </c>
    </row>
    <row r="34" spans="1:10" x14ac:dyDescent="0.25">
      <c r="A34" t="s">
        <v>922</v>
      </c>
      <c r="B34" t="str">
        <f t="shared" si="1"/>
        <v>[[Detect Poison and Disease]]</v>
      </c>
      <c r="C34">
        <v>1</v>
      </c>
      <c r="D34" t="s">
        <v>745</v>
      </c>
      <c r="E34" t="s">
        <v>715</v>
      </c>
      <c r="F34" t="s">
        <v>738</v>
      </c>
      <c r="G34" t="s">
        <v>746</v>
      </c>
      <c r="H34" t="s">
        <v>713</v>
      </c>
      <c r="I34" t="s">
        <v>722</v>
      </c>
      <c r="J34" t="s">
        <v>716</v>
      </c>
    </row>
    <row r="35" spans="1:10" x14ac:dyDescent="0.25">
      <c r="A35" t="s">
        <v>765</v>
      </c>
      <c r="B35" t="str">
        <f t="shared" si="1"/>
        <v>[[Dispel Magic]]</v>
      </c>
      <c r="C35">
        <v>3</v>
      </c>
      <c r="D35" t="s">
        <v>737</v>
      </c>
      <c r="E35" t="s">
        <v>710</v>
      </c>
      <c r="F35" t="s">
        <v>719</v>
      </c>
      <c r="G35" t="s">
        <v>730</v>
      </c>
      <c r="H35" t="s">
        <v>721</v>
      </c>
    </row>
    <row r="36" spans="1:10" x14ac:dyDescent="0.25">
      <c r="A36" t="s">
        <v>924</v>
      </c>
      <c r="B36" t="str">
        <f t="shared" si="1"/>
        <v>[[Divination]]</v>
      </c>
      <c r="C36">
        <v>4</v>
      </c>
      <c r="D36" t="s">
        <v>745</v>
      </c>
      <c r="E36" t="s">
        <v>715</v>
      </c>
      <c r="F36" t="s">
        <v>738</v>
      </c>
      <c r="G36" t="s">
        <v>730</v>
      </c>
      <c r="H36" t="s">
        <v>713</v>
      </c>
      <c r="J36" t="s">
        <v>716</v>
      </c>
    </row>
    <row r="37" spans="1:10" x14ac:dyDescent="0.25">
      <c r="A37" t="s">
        <v>989</v>
      </c>
      <c r="B37" t="str">
        <f t="shared" si="1"/>
        <v>[[Dominate Beast]]</v>
      </c>
      <c r="C37">
        <v>4</v>
      </c>
      <c r="D37" t="s">
        <v>709</v>
      </c>
      <c r="E37" t="s">
        <v>710</v>
      </c>
      <c r="F37" t="s">
        <v>725</v>
      </c>
      <c r="G37" t="s">
        <v>720</v>
      </c>
      <c r="H37" t="s">
        <v>721</v>
      </c>
      <c r="I37" t="s">
        <v>722</v>
      </c>
    </row>
    <row r="38" spans="1:10" x14ac:dyDescent="0.25">
      <c r="A38" t="s">
        <v>990</v>
      </c>
      <c r="B38" t="str">
        <f t="shared" si="1"/>
        <v>[[Druidcraft]]</v>
      </c>
      <c r="C38">
        <v>0</v>
      </c>
      <c r="D38" t="s">
        <v>718</v>
      </c>
      <c r="E38" t="s">
        <v>710</v>
      </c>
      <c r="F38" t="s">
        <v>711</v>
      </c>
      <c r="G38" t="s">
        <v>730</v>
      </c>
      <c r="H38" t="s">
        <v>721</v>
      </c>
    </row>
    <row r="39" spans="1:10" x14ac:dyDescent="0.25">
      <c r="A39" t="s">
        <v>926</v>
      </c>
      <c r="B39" t="str">
        <f t="shared" si="1"/>
        <v>[[Earthquake]]</v>
      </c>
      <c r="C39">
        <v>8</v>
      </c>
      <c r="D39" t="s">
        <v>718</v>
      </c>
      <c r="E39" t="s">
        <v>710</v>
      </c>
      <c r="F39" t="s">
        <v>763</v>
      </c>
      <c r="G39" t="s">
        <v>720</v>
      </c>
      <c r="H39" t="s">
        <v>713</v>
      </c>
      <c r="I39" t="s">
        <v>722</v>
      </c>
    </row>
    <row r="40" spans="1:10" x14ac:dyDescent="0.25">
      <c r="A40" t="s">
        <v>991</v>
      </c>
      <c r="B40" t="str">
        <f t="shared" si="1"/>
        <v>[[Elemental Weapon]]</v>
      </c>
      <c r="C40">
        <v>3</v>
      </c>
      <c r="D40" t="s">
        <v>718</v>
      </c>
      <c r="E40" t="s">
        <v>710</v>
      </c>
      <c r="F40" t="s">
        <v>729</v>
      </c>
      <c r="G40" t="s">
        <v>724</v>
      </c>
      <c r="H40" t="s">
        <v>721</v>
      </c>
      <c r="I40" t="s">
        <v>722</v>
      </c>
    </row>
    <row r="41" spans="1:10" x14ac:dyDescent="0.25">
      <c r="A41" t="s">
        <v>992</v>
      </c>
      <c r="B41" t="str">
        <f t="shared" si="1"/>
        <v>[[Elementalism]]</v>
      </c>
      <c r="C41">
        <v>0</v>
      </c>
      <c r="D41" t="s">
        <v>718</v>
      </c>
      <c r="E41" t="s">
        <v>710</v>
      </c>
      <c r="F41" t="s">
        <v>711</v>
      </c>
      <c r="G41" t="s">
        <v>730</v>
      </c>
      <c r="H41" t="s">
        <v>721</v>
      </c>
    </row>
    <row r="42" spans="1:10" x14ac:dyDescent="0.25">
      <c r="A42" t="s">
        <v>771</v>
      </c>
      <c r="B42" t="str">
        <f t="shared" si="1"/>
        <v>[[Enhance Ability]]</v>
      </c>
      <c r="C42">
        <v>2</v>
      </c>
      <c r="D42" t="s">
        <v>718</v>
      </c>
      <c r="E42" t="s">
        <v>710</v>
      </c>
      <c r="F42" t="s">
        <v>729</v>
      </c>
      <c r="G42" t="s">
        <v>724</v>
      </c>
      <c r="H42" t="s">
        <v>713</v>
      </c>
      <c r="I42" t="s">
        <v>722</v>
      </c>
    </row>
    <row r="43" spans="1:10" x14ac:dyDescent="0.25">
      <c r="A43" t="s">
        <v>772</v>
      </c>
      <c r="B43" t="str">
        <f t="shared" si="1"/>
        <v>[[Enlarge/Reduce]]</v>
      </c>
      <c r="C43">
        <v>2</v>
      </c>
      <c r="D43" t="s">
        <v>718</v>
      </c>
      <c r="E43" t="s">
        <v>710</v>
      </c>
      <c r="F43" t="s">
        <v>711</v>
      </c>
      <c r="G43" t="s">
        <v>720</v>
      </c>
      <c r="H43" t="s">
        <v>713</v>
      </c>
      <c r="I43" t="s">
        <v>722</v>
      </c>
    </row>
    <row r="44" spans="1:10" x14ac:dyDescent="0.25">
      <c r="A44" t="s">
        <v>993</v>
      </c>
      <c r="B44" t="str">
        <f t="shared" si="1"/>
        <v>[[Entangle]]</v>
      </c>
      <c r="C44">
        <v>1</v>
      </c>
      <c r="D44" t="s">
        <v>749</v>
      </c>
      <c r="E44" t="s">
        <v>710</v>
      </c>
      <c r="F44" t="s">
        <v>756</v>
      </c>
      <c r="G44" t="s">
        <v>720</v>
      </c>
      <c r="H44" t="s">
        <v>721</v>
      </c>
      <c r="I44" t="s">
        <v>722</v>
      </c>
    </row>
    <row r="45" spans="1:10" x14ac:dyDescent="0.25">
      <c r="A45" t="s">
        <v>776</v>
      </c>
      <c r="B45" t="str">
        <f t="shared" si="1"/>
        <v>[[Faerie Fire]]</v>
      </c>
      <c r="C45">
        <v>1</v>
      </c>
      <c r="D45" t="s">
        <v>777</v>
      </c>
      <c r="E45" t="s">
        <v>710</v>
      </c>
      <c r="F45" t="s">
        <v>725</v>
      </c>
      <c r="G45" t="s">
        <v>720</v>
      </c>
      <c r="H45" t="s">
        <v>740</v>
      </c>
      <c r="I45" t="s">
        <v>722</v>
      </c>
    </row>
    <row r="46" spans="1:10" x14ac:dyDescent="0.25">
      <c r="A46" t="s">
        <v>782</v>
      </c>
      <c r="B46" t="str">
        <f t="shared" si="1"/>
        <v>[[Feign Death]]</v>
      </c>
      <c r="C46">
        <v>3</v>
      </c>
      <c r="D46" t="s">
        <v>735</v>
      </c>
      <c r="E46" t="s">
        <v>715</v>
      </c>
      <c r="F46" t="s">
        <v>729</v>
      </c>
      <c r="G46" t="s">
        <v>724</v>
      </c>
      <c r="H46" t="s">
        <v>713</v>
      </c>
      <c r="J46" t="s">
        <v>716</v>
      </c>
    </row>
    <row r="47" spans="1:10" x14ac:dyDescent="0.25">
      <c r="A47" t="s">
        <v>783</v>
      </c>
      <c r="B47" t="str">
        <f t="shared" si="1"/>
        <v>[[Find the Path]]</v>
      </c>
      <c r="C47">
        <v>6</v>
      </c>
      <c r="D47" t="s">
        <v>745</v>
      </c>
      <c r="E47" t="s">
        <v>720</v>
      </c>
      <c r="F47" t="s">
        <v>738</v>
      </c>
      <c r="G47" t="s">
        <v>784</v>
      </c>
      <c r="H47" t="s">
        <v>713</v>
      </c>
      <c r="I47" t="s">
        <v>722</v>
      </c>
    </row>
    <row r="48" spans="1:10" x14ac:dyDescent="0.25">
      <c r="A48" t="s">
        <v>927</v>
      </c>
      <c r="B48" t="str">
        <f t="shared" si="1"/>
        <v>[[Find Traps]]</v>
      </c>
      <c r="C48">
        <v>2</v>
      </c>
      <c r="D48" t="s">
        <v>745</v>
      </c>
      <c r="E48" t="s">
        <v>710</v>
      </c>
      <c r="F48" t="s">
        <v>719</v>
      </c>
      <c r="G48" t="s">
        <v>730</v>
      </c>
      <c r="H48" t="s">
        <v>721</v>
      </c>
    </row>
    <row r="49" spans="1:9" x14ac:dyDescent="0.25">
      <c r="A49" t="s">
        <v>994</v>
      </c>
      <c r="B49" t="str">
        <f t="shared" si="1"/>
        <v>[[Fire Shield]]</v>
      </c>
      <c r="C49">
        <v>4</v>
      </c>
      <c r="D49" t="s">
        <v>777</v>
      </c>
      <c r="E49" t="s">
        <v>710</v>
      </c>
      <c r="F49" t="s">
        <v>738</v>
      </c>
      <c r="G49" t="s">
        <v>746</v>
      </c>
      <c r="H49" t="s">
        <v>713</v>
      </c>
    </row>
    <row r="50" spans="1:9" x14ac:dyDescent="0.25">
      <c r="A50" t="s">
        <v>928</v>
      </c>
      <c r="B50" t="str">
        <f t="shared" si="1"/>
        <v>[[Fire Storm]]</v>
      </c>
      <c r="C50">
        <v>7</v>
      </c>
      <c r="D50" t="s">
        <v>777</v>
      </c>
      <c r="E50" t="s">
        <v>710</v>
      </c>
      <c r="F50" t="s">
        <v>733</v>
      </c>
      <c r="G50" t="s">
        <v>730</v>
      </c>
      <c r="H50" t="s">
        <v>721</v>
      </c>
    </row>
    <row r="51" spans="1:9" x14ac:dyDescent="0.25">
      <c r="A51" t="s">
        <v>995</v>
      </c>
      <c r="B51" t="str">
        <f t="shared" si="1"/>
        <v>[[Flame Blade]]</v>
      </c>
      <c r="C51">
        <v>2</v>
      </c>
      <c r="D51" t="s">
        <v>777</v>
      </c>
      <c r="E51" t="s">
        <v>804</v>
      </c>
      <c r="F51" t="s">
        <v>738</v>
      </c>
      <c r="G51" t="s">
        <v>746</v>
      </c>
      <c r="H51" t="s">
        <v>713</v>
      </c>
      <c r="I51" t="s">
        <v>722</v>
      </c>
    </row>
    <row r="52" spans="1:9" x14ac:dyDescent="0.25">
      <c r="A52" t="s">
        <v>996</v>
      </c>
      <c r="B52" t="str">
        <f t="shared" si="1"/>
        <v>[[Flaming Sphere]]</v>
      </c>
      <c r="C52">
        <v>2</v>
      </c>
      <c r="D52" t="s">
        <v>749</v>
      </c>
      <c r="E52" t="s">
        <v>710</v>
      </c>
      <c r="F52" t="s">
        <v>725</v>
      </c>
      <c r="G52" t="s">
        <v>720</v>
      </c>
      <c r="H52" t="s">
        <v>713</v>
      </c>
      <c r="I52" t="s">
        <v>722</v>
      </c>
    </row>
    <row r="53" spans="1:9" x14ac:dyDescent="0.25">
      <c r="A53" t="s">
        <v>997</v>
      </c>
      <c r="B53" t="str">
        <f t="shared" si="1"/>
        <v>[[Flesh to Stone]]</v>
      </c>
      <c r="C53">
        <v>6</v>
      </c>
      <c r="D53" t="s">
        <v>718</v>
      </c>
      <c r="E53" t="s">
        <v>710</v>
      </c>
      <c r="F53" t="s">
        <v>725</v>
      </c>
      <c r="G53" t="s">
        <v>720</v>
      </c>
      <c r="H53" t="s">
        <v>713</v>
      </c>
      <c r="I53" t="s">
        <v>722</v>
      </c>
    </row>
    <row r="54" spans="1:9" x14ac:dyDescent="0.25">
      <c r="A54" t="s">
        <v>998</v>
      </c>
      <c r="B54" t="str">
        <f t="shared" si="1"/>
        <v>[[Fog Cloud]]</v>
      </c>
      <c r="C54">
        <v>1</v>
      </c>
      <c r="D54" t="s">
        <v>749</v>
      </c>
      <c r="E54" t="s">
        <v>710</v>
      </c>
      <c r="F54" t="s">
        <v>719</v>
      </c>
      <c r="G54" t="s">
        <v>724</v>
      </c>
      <c r="H54" t="s">
        <v>721</v>
      </c>
      <c r="I54" t="s">
        <v>722</v>
      </c>
    </row>
    <row r="55" spans="1:9" x14ac:dyDescent="0.25">
      <c r="A55" t="s">
        <v>787</v>
      </c>
      <c r="B55" t="str">
        <f t="shared" si="1"/>
        <v>[[Foresight]]</v>
      </c>
      <c r="C55">
        <v>9</v>
      </c>
      <c r="D55" t="s">
        <v>745</v>
      </c>
      <c r="E55" t="s">
        <v>720</v>
      </c>
      <c r="F55" t="s">
        <v>729</v>
      </c>
      <c r="G55" t="s">
        <v>728</v>
      </c>
      <c r="H55" t="s">
        <v>713</v>
      </c>
    </row>
    <row r="56" spans="1:9" x14ac:dyDescent="0.25">
      <c r="A56" t="s">
        <v>788</v>
      </c>
      <c r="B56" t="str">
        <f t="shared" si="1"/>
        <v>[[Fount of Moonlight]]</v>
      </c>
      <c r="C56">
        <v>4</v>
      </c>
      <c r="D56" t="s">
        <v>777</v>
      </c>
      <c r="E56" t="s">
        <v>710</v>
      </c>
      <c r="F56" t="s">
        <v>738</v>
      </c>
      <c r="G56" t="s">
        <v>746</v>
      </c>
      <c r="H56" t="s">
        <v>721</v>
      </c>
      <c r="I56" t="s">
        <v>722</v>
      </c>
    </row>
    <row r="57" spans="1:9" x14ac:dyDescent="0.25">
      <c r="A57" t="s">
        <v>789</v>
      </c>
      <c r="B57" t="str">
        <f t="shared" si="1"/>
        <v>[[Freedom of Movement]]</v>
      </c>
      <c r="C57">
        <v>4</v>
      </c>
      <c r="D57" t="s">
        <v>737</v>
      </c>
      <c r="E57" t="s">
        <v>710</v>
      </c>
      <c r="F57" t="s">
        <v>729</v>
      </c>
      <c r="G57" t="s">
        <v>724</v>
      </c>
      <c r="H57" t="s">
        <v>713</v>
      </c>
    </row>
    <row r="58" spans="1:9" x14ac:dyDescent="0.25">
      <c r="A58" t="s">
        <v>793</v>
      </c>
      <c r="B58" t="str">
        <f t="shared" si="1"/>
        <v>[[Geas]]</v>
      </c>
      <c r="C58">
        <v>5</v>
      </c>
      <c r="D58" t="s">
        <v>709</v>
      </c>
      <c r="E58" t="s">
        <v>720</v>
      </c>
      <c r="F58" t="s">
        <v>725</v>
      </c>
      <c r="G58" t="s">
        <v>794</v>
      </c>
      <c r="H58" t="s">
        <v>740</v>
      </c>
    </row>
    <row r="59" spans="1:9" x14ac:dyDescent="0.25">
      <c r="A59" t="s">
        <v>999</v>
      </c>
      <c r="B59" t="str">
        <f t="shared" si="1"/>
        <v>[[Giant Insect]]</v>
      </c>
      <c r="C59">
        <v>4</v>
      </c>
      <c r="D59" t="s">
        <v>749</v>
      </c>
      <c r="E59" t="s">
        <v>710</v>
      </c>
      <c r="F59" t="s">
        <v>725</v>
      </c>
      <c r="G59" t="s">
        <v>746</v>
      </c>
      <c r="H59" t="s">
        <v>721</v>
      </c>
      <c r="I59" t="s">
        <v>722</v>
      </c>
    </row>
    <row r="60" spans="1:9" x14ac:dyDescent="0.25">
      <c r="A60" t="s">
        <v>1000</v>
      </c>
      <c r="B60" t="str">
        <f t="shared" si="1"/>
        <v>[[Goodberry]]</v>
      </c>
      <c r="C60">
        <v>1</v>
      </c>
      <c r="D60" t="s">
        <v>749</v>
      </c>
      <c r="E60" t="s">
        <v>710</v>
      </c>
      <c r="F60" t="s">
        <v>738</v>
      </c>
      <c r="G60" t="s">
        <v>712</v>
      </c>
      <c r="H60" t="s">
        <v>713</v>
      </c>
    </row>
    <row r="61" spans="1:9" x14ac:dyDescent="0.25">
      <c r="A61" t="s">
        <v>1001</v>
      </c>
      <c r="B61" t="str">
        <f t="shared" si="1"/>
        <v>[[Grasping Vine]]</v>
      </c>
      <c r="C61">
        <v>4</v>
      </c>
      <c r="D61" t="s">
        <v>749</v>
      </c>
      <c r="E61" t="s">
        <v>804</v>
      </c>
      <c r="F61" t="s">
        <v>725</v>
      </c>
      <c r="G61" t="s">
        <v>720</v>
      </c>
      <c r="H61" t="s">
        <v>721</v>
      </c>
      <c r="I61" t="s">
        <v>722</v>
      </c>
    </row>
    <row r="62" spans="1:9" x14ac:dyDescent="0.25">
      <c r="A62" t="s">
        <v>799</v>
      </c>
      <c r="B62" t="str">
        <f t="shared" si="1"/>
        <v>[[Greater Restoration]]</v>
      </c>
      <c r="C62">
        <v>5</v>
      </c>
      <c r="D62" t="s">
        <v>737</v>
      </c>
      <c r="E62" t="s">
        <v>710</v>
      </c>
      <c r="F62" t="s">
        <v>729</v>
      </c>
      <c r="G62" t="s">
        <v>730</v>
      </c>
      <c r="H62" t="s">
        <v>713</v>
      </c>
    </row>
    <row r="63" spans="1:9" x14ac:dyDescent="0.25">
      <c r="A63" t="s">
        <v>935</v>
      </c>
      <c r="B63" t="str">
        <f t="shared" si="1"/>
        <v>[[Guidance]]</v>
      </c>
      <c r="C63">
        <v>0</v>
      </c>
      <c r="D63" t="s">
        <v>745</v>
      </c>
      <c r="E63" t="s">
        <v>710</v>
      </c>
      <c r="F63" t="s">
        <v>729</v>
      </c>
      <c r="G63" t="s">
        <v>720</v>
      </c>
      <c r="H63" t="s">
        <v>721</v>
      </c>
      <c r="I63" t="s">
        <v>722</v>
      </c>
    </row>
    <row r="64" spans="1:9" x14ac:dyDescent="0.25">
      <c r="A64" t="s">
        <v>1002</v>
      </c>
      <c r="B64" t="str">
        <f t="shared" si="1"/>
        <v>[[Gust of Wind]]</v>
      </c>
      <c r="C64">
        <v>2</v>
      </c>
      <c r="D64" t="s">
        <v>777</v>
      </c>
      <c r="E64" t="s">
        <v>710</v>
      </c>
      <c r="F64" t="s">
        <v>738</v>
      </c>
      <c r="G64" t="s">
        <v>720</v>
      </c>
      <c r="H64" t="s">
        <v>713</v>
      </c>
      <c r="I64" t="s">
        <v>722</v>
      </c>
    </row>
    <row r="65" spans="1:10" x14ac:dyDescent="0.25">
      <c r="A65" t="s">
        <v>801</v>
      </c>
      <c r="B65" t="str">
        <f t="shared" ref="B65:B96" si="2">"[["&amp;A65&amp;"]]"</f>
        <v>[[Hallucinatory Terrain]]</v>
      </c>
      <c r="C65">
        <v>4</v>
      </c>
      <c r="D65" t="s">
        <v>751</v>
      </c>
      <c r="E65" t="s">
        <v>746</v>
      </c>
      <c r="F65" t="s">
        <v>802</v>
      </c>
      <c r="G65" t="s">
        <v>712</v>
      </c>
      <c r="H65" t="s">
        <v>713</v>
      </c>
    </row>
    <row r="66" spans="1:10" x14ac:dyDescent="0.25">
      <c r="A66" t="s">
        <v>939</v>
      </c>
      <c r="B66" t="str">
        <f t="shared" si="2"/>
        <v>[[Heal]]</v>
      </c>
      <c r="C66">
        <v>6</v>
      </c>
      <c r="D66" t="s">
        <v>737</v>
      </c>
      <c r="E66" t="s">
        <v>710</v>
      </c>
      <c r="F66" t="s">
        <v>725</v>
      </c>
      <c r="G66" t="s">
        <v>730</v>
      </c>
      <c r="H66" t="s">
        <v>721</v>
      </c>
    </row>
    <row r="67" spans="1:10" x14ac:dyDescent="0.25">
      <c r="A67" t="s">
        <v>803</v>
      </c>
      <c r="B67" t="str">
        <f t="shared" si="2"/>
        <v>[[Healing Word]]</v>
      </c>
      <c r="C67">
        <v>1</v>
      </c>
      <c r="D67" t="s">
        <v>737</v>
      </c>
      <c r="E67" t="s">
        <v>804</v>
      </c>
      <c r="F67" t="s">
        <v>725</v>
      </c>
      <c r="G67" t="s">
        <v>730</v>
      </c>
      <c r="H67" t="s">
        <v>740</v>
      </c>
    </row>
    <row r="68" spans="1:10" x14ac:dyDescent="0.25">
      <c r="A68" t="s">
        <v>805</v>
      </c>
      <c r="B68" t="str">
        <f t="shared" si="2"/>
        <v>[[Heat Metal]]</v>
      </c>
      <c r="C68">
        <v>2</v>
      </c>
      <c r="D68" t="s">
        <v>718</v>
      </c>
      <c r="E68" t="s">
        <v>710</v>
      </c>
      <c r="F68" t="s">
        <v>725</v>
      </c>
      <c r="G68" t="s">
        <v>720</v>
      </c>
      <c r="H68" t="s">
        <v>713</v>
      </c>
      <c r="I68" t="s">
        <v>722</v>
      </c>
    </row>
    <row r="69" spans="1:10" x14ac:dyDescent="0.25">
      <c r="A69" t="s">
        <v>806</v>
      </c>
      <c r="B69" t="str">
        <f t="shared" si="2"/>
        <v>[[Heroes' Feast]]</v>
      </c>
      <c r="C69">
        <v>6</v>
      </c>
      <c r="D69" t="s">
        <v>749</v>
      </c>
      <c r="E69" t="s">
        <v>746</v>
      </c>
      <c r="F69" t="s">
        <v>738</v>
      </c>
      <c r="G69" t="s">
        <v>730</v>
      </c>
      <c r="H69" t="s">
        <v>713</v>
      </c>
    </row>
    <row r="70" spans="1:10" x14ac:dyDescent="0.25">
      <c r="A70" t="s">
        <v>809</v>
      </c>
      <c r="B70" t="str">
        <f t="shared" si="2"/>
        <v>[[Hold Person]]</v>
      </c>
      <c r="C70">
        <v>2</v>
      </c>
      <c r="D70" t="s">
        <v>709</v>
      </c>
      <c r="E70" t="s">
        <v>710</v>
      </c>
      <c r="F70" t="s">
        <v>725</v>
      </c>
      <c r="G70" t="s">
        <v>720</v>
      </c>
      <c r="H70" t="s">
        <v>713</v>
      </c>
      <c r="I70" t="s">
        <v>722</v>
      </c>
    </row>
    <row r="71" spans="1:10" x14ac:dyDescent="0.25">
      <c r="A71" t="s">
        <v>1003</v>
      </c>
      <c r="B71" t="str">
        <f t="shared" si="2"/>
        <v>[[Ice Knife]]</v>
      </c>
      <c r="C71">
        <v>1</v>
      </c>
      <c r="D71" t="s">
        <v>749</v>
      </c>
      <c r="E71" t="s">
        <v>710</v>
      </c>
      <c r="F71" t="s">
        <v>725</v>
      </c>
      <c r="G71" t="s">
        <v>730</v>
      </c>
      <c r="H71" t="s">
        <v>792</v>
      </c>
    </row>
    <row r="72" spans="1:10" x14ac:dyDescent="0.25">
      <c r="A72" t="s">
        <v>1004</v>
      </c>
      <c r="B72" t="str">
        <f t="shared" si="2"/>
        <v>[[Ice Storm]]</v>
      </c>
      <c r="C72">
        <v>4</v>
      </c>
      <c r="D72" t="s">
        <v>777</v>
      </c>
      <c r="E72" t="s">
        <v>710</v>
      </c>
      <c r="F72" t="s">
        <v>802</v>
      </c>
      <c r="G72" t="s">
        <v>730</v>
      </c>
      <c r="H72" t="s">
        <v>713</v>
      </c>
    </row>
    <row r="73" spans="1:10" x14ac:dyDescent="0.25">
      <c r="A73" t="s">
        <v>1005</v>
      </c>
      <c r="B73" t="str">
        <f t="shared" si="2"/>
        <v>[[Incendiary CLoud]]</v>
      </c>
      <c r="C73">
        <v>8</v>
      </c>
      <c r="D73" t="s">
        <v>749</v>
      </c>
      <c r="E73" t="s">
        <v>710</v>
      </c>
      <c r="F73" t="s">
        <v>733</v>
      </c>
      <c r="G73" t="s">
        <v>720</v>
      </c>
      <c r="H73" t="s">
        <v>721</v>
      </c>
      <c r="I73" t="s">
        <v>722</v>
      </c>
    </row>
    <row r="74" spans="1:10" x14ac:dyDescent="0.25">
      <c r="A74" t="s">
        <v>942</v>
      </c>
      <c r="B74" t="str">
        <f t="shared" si="2"/>
        <v>[[Insect Plague]]</v>
      </c>
      <c r="C74">
        <v>5</v>
      </c>
      <c r="D74" t="s">
        <v>749</v>
      </c>
      <c r="E74" t="s">
        <v>710</v>
      </c>
      <c r="F74" t="s">
        <v>802</v>
      </c>
      <c r="G74" t="s">
        <v>746</v>
      </c>
      <c r="H74" t="s">
        <v>713</v>
      </c>
      <c r="I74" t="s">
        <v>722</v>
      </c>
    </row>
    <row r="75" spans="1:10" x14ac:dyDescent="0.25">
      <c r="A75" t="s">
        <v>1006</v>
      </c>
      <c r="B75" t="str">
        <f t="shared" si="2"/>
        <v>[[Jump]]</v>
      </c>
      <c r="C75">
        <v>1</v>
      </c>
      <c r="D75" t="s">
        <v>718</v>
      </c>
      <c r="E75" t="s">
        <v>804</v>
      </c>
      <c r="F75" t="s">
        <v>729</v>
      </c>
      <c r="G75" t="s">
        <v>720</v>
      </c>
      <c r="H75" t="s">
        <v>713</v>
      </c>
    </row>
    <row r="76" spans="1:10" x14ac:dyDescent="0.25">
      <c r="A76" t="s">
        <v>818</v>
      </c>
      <c r="B76" t="str">
        <f t="shared" si="2"/>
        <v>[[Lesser Restoration]]</v>
      </c>
      <c r="C76">
        <v>2</v>
      </c>
      <c r="D76" t="s">
        <v>737</v>
      </c>
      <c r="E76" t="s">
        <v>804</v>
      </c>
      <c r="F76" t="s">
        <v>729</v>
      </c>
      <c r="G76" t="s">
        <v>730</v>
      </c>
      <c r="H76" t="s">
        <v>721</v>
      </c>
    </row>
    <row r="77" spans="1:10" x14ac:dyDescent="0.25">
      <c r="A77" t="s">
        <v>820</v>
      </c>
      <c r="B77" t="str">
        <f t="shared" si="2"/>
        <v>[[Locate Animals or Plants]]</v>
      </c>
      <c r="C77">
        <v>2</v>
      </c>
      <c r="D77" t="s">
        <v>745</v>
      </c>
      <c r="E77" t="s">
        <v>715</v>
      </c>
      <c r="F77" t="s">
        <v>738</v>
      </c>
      <c r="G77" t="s">
        <v>730</v>
      </c>
      <c r="H77" t="s">
        <v>713</v>
      </c>
      <c r="J77" t="s">
        <v>716</v>
      </c>
    </row>
    <row r="78" spans="1:10" x14ac:dyDescent="0.25">
      <c r="A78" t="s">
        <v>821</v>
      </c>
      <c r="B78" t="str">
        <f t="shared" si="2"/>
        <v>[[Locate Creature]]</v>
      </c>
      <c r="C78">
        <v>4</v>
      </c>
      <c r="D78" t="s">
        <v>745</v>
      </c>
      <c r="E78" t="s">
        <v>710</v>
      </c>
      <c r="F78" t="s">
        <v>738</v>
      </c>
      <c r="G78" t="s">
        <v>724</v>
      </c>
      <c r="H78" t="s">
        <v>713</v>
      </c>
      <c r="I78" t="s">
        <v>722</v>
      </c>
    </row>
    <row r="79" spans="1:10" x14ac:dyDescent="0.25">
      <c r="A79" t="s">
        <v>822</v>
      </c>
      <c r="B79" t="str">
        <f t="shared" si="2"/>
        <v>[[Locate Object]]</v>
      </c>
      <c r="C79">
        <v>2</v>
      </c>
      <c r="D79" t="s">
        <v>745</v>
      </c>
      <c r="E79" t="s">
        <v>710</v>
      </c>
      <c r="F79" t="s">
        <v>738</v>
      </c>
      <c r="G79" t="s">
        <v>746</v>
      </c>
      <c r="H79" t="s">
        <v>713</v>
      </c>
      <c r="I79" t="s">
        <v>722</v>
      </c>
    </row>
    <row r="80" spans="1:10" x14ac:dyDescent="0.25">
      <c r="A80" t="s">
        <v>823</v>
      </c>
      <c r="B80" t="str">
        <f t="shared" si="2"/>
        <v>[[Longstrider]]</v>
      </c>
      <c r="C80">
        <v>1</v>
      </c>
      <c r="D80" t="s">
        <v>718</v>
      </c>
      <c r="E80" t="s">
        <v>710</v>
      </c>
      <c r="F80" t="s">
        <v>729</v>
      </c>
      <c r="G80" t="s">
        <v>724</v>
      </c>
      <c r="H80" t="s">
        <v>713</v>
      </c>
    </row>
    <row r="81" spans="1:10" x14ac:dyDescent="0.25">
      <c r="A81" t="s">
        <v>828</v>
      </c>
      <c r="B81" t="str">
        <f t="shared" si="2"/>
        <v>[[Mass Cure Wounds]]</v>
      </c>
      <c r="C81">
        <v>5</v>
      </c>
      <c r="D81" t="s">
        <v>737</v>
      </c>
      <c r="E81" t="s">
        <v>710</v>
      </c>
      <c r="F81" t="s">
        <v>725</v>
      </c>
      <c r="G81" t="s">
        <v>730</v>
      </c>
      <c r="H81" t="s">
        <v>721</v>
      </c>
    </row>
    <row r="82" spans="1:10" x14ac:dyDescent="0.25">
      <c r="A82" t="s">
        <v>945</v>
      </c>
      <c r="B82" t="str">
        <f t="shared" si="2"/>
        <v>[[Meld into Stone]]</v>
      </c>
      <c r="C82">
        <v>3</v>
      </c>
      <c r="D82" t="s">
        <v>718</v>
      </c>
      <c r="E82" t="s">
        <v>715</v>
      </c>
      <c r="F82" t="s">
        <v>729</v>
      </c>
      <c r="G82" t="s">
        <v>728</v>
      </c>
      <c r="H82" t="s">
        <v>721</v>
      </c>
      <c r="J82" t="s">
        <v>716</v>
      </c>
    </row>
    <row r="83" spans="1:10" x14ac:dyDescent="0.25">
      <c r="A83" t="s">
        <v>831</v>
      </c>
      <c r="B83" t="str">
        <f t="shared" si="2"/>
        <v>[[Mending]]</v>
      </c>
      <c r="C83">
        <v>0</v>
      </c>
      <c r="D83" t="s">
        <v>718</v>
      </c>
      <c r="E83" t="s">
        <v>720</v>
      </c>
      <c r="F83" t="s">
        <v>729</v>
      </c>
      <c r="G83" t="s">
        <v>730</v>
      </c>
      <c r="H83" t="s">
        <v>713</v>
      </c>
    </row>
    <row r="84" spans="1:10" x14ac:dyDescent="0.25">
      <c r="A84" t="s">
        <v>832</v>
      </c>
      <c r="B84" t="str">
        <f t="shared" si="2"/>
        <v>[[Message]]</v>
      </c>
      <c r="C84">
        <v>0</v>
      </c>
      <c r="D84" t="s">
        <v>718</v>
      </c>
      <c r="E84" t="s">
        <v>710</v>
      </c>
      <c r="F84" t="s">
        <v>719</v>
      </c>
      <c r="G84" t="s">
        <v>833</v>
      </c>
      <c r="H84" t="s">
        <v>792</v>
      </c>
    </row>
    <row r="85" spans="1:10" x14ac:dyDescent="0.25">
      <c r="A85" t="s">
        <v>836</v>
      </c>
      <c r="B85" t="str">
        <f t="shared" si="2"/>
        <v>[[Mirage Arcane]]</v>
      </c>
      <c r="C85">
        <v>7</v>
      </c>
      <c r="D85" t="s">
        <v>751</v>
      </c>
      <c r="E85" t="s">
        <v>746</v>
      </c>
      <c r="F85" t="s">
        <v>837</v>
      </c>
      <c r="G85" t="s">
        <v>726</v>
      </c>
      <c r="H85" t="s">
        <v>721</v>
      </c>
    </row>
    <row r="86" spans="1:10" x14ac:dyDescent="0.25">
      <c r="A86" t="s">
        <v>1007</v>
      </c>
      <c r="B86" t="str">
        <f t="shared" si="2"/>
        <v>[[Moonbeam]]</v>
      </c>
      <c r="C86">
        <v>2</v>
      </c>
      <c r="D86" t="s">
        <v>777</v>
      </c>
      <c r="E86" t="s">
        <v>710</v>
      </c>
      <c r="F86" t="s">
        <v>719</v>
      </c>
      <c r="G86" t="s">
        <v>720</v>
      </c>
      <c r="H86" t="s">
        <v>713</v>
      </c>
      <c r="I86" t="s">
        <v>722</v>
      </c>
    </row>
    <row r="87" spans="1:10" x14ac:dyDescent="0.25">
      <c r="A87" t="s">
        <v>1008</v>
      </c>
      <c r="B87" t="str">
        <f t="shared" si="2"/>
        <v>[[Move Earth]]</v>
      </c>
      <c r="C87">
        <v>6</v>
      </c>
      <c r="D87" t="s">
        <v>718</v>
      </c>
      <c r="E87" t="s">
        <v>710</v>
      </c>
      <c r="F87" t="s">
        <v>719</v>
      </c>
      <c r="G87" t="s">
        <v>1009</v>
      </c>
      <c r="H87" t="s">
        <v>713</v>
      </c>
      <c r="I87" t="s">
        <v>722</v>
      </c>
    </row>
    <row r="88" spans="1:10" x14ac:dyDescent="0.25">
      <c r="A88" t="s">
        <v>1010</v>
      </c>
      <c r="B88" t="str">
        <f t="shared" si="2"/>
        <v>[[Pass without Trace]]</v>
      </c>
      <c r="C88">
        <v>2</v>
      </c>
      <c r="D88" t="s">
        <v>737</v>
      </c>
      <c r="E88" t="s">
        <v>710</v>
      </c>
      <c r="F88" t="s">
        <v>738</v>
      </c>
      <c r="G88" t="s">
        <v>724</v>
      </c>
      <c r="H88" t="s">
        <v>713</v>
      </c>
      <c r="I88" t="s">
        <v>722</v>
      </c>
    </row>
    <row r="89" spans="1:10" x14ac:dyDescent="0.25">
      <c r="A89" t="s">
        <v>848</v>
      </c>
      <c r="B89" t="str">
        <f t="shared" si="2"/>
        <v>[[Planar Binding]]</v>
      </c>
      <c r="C89">
        <v>5</v>
      </c>
      <c r="D89" t="s">
        <v>737</v>
      </c>
      <c r="E89" t="s">
        <v>724</v>
      </c>
      <c r="F89" t="s">
        <v>725</v>
      </c>
      <c r="G89" t="s">
        <v>712</v>
      </c>
      <c r="H89" t="s">
        <v>713</v>
      </c>
    </row>
    <row r="90" spans="1:10" x14ac:dyDescent="0.25">
      <c r="A90" t="s">
        <v>947</v>
      </c>
      <c r="B90" t="str">
        <f t="shared" si="2"/>
        <v>[[Plane Shift]]</v>
      </c>
      <c r="C90">
        <v>7</v>
      </c>
      <c r="D90" t="s">
        <v>749</v>
      </c>
      <c r="E90" t="s">
        <v>710</v>
      </c>
      <c r="F90" t="s">
        <v>729</v>
      </c>
      <c r="G90" t="s">
        <v>730</v>
      </c>
      <c r="H90" t="s">
        <v>713</v>
      </c>
    </row>
    <row r="91" spans="1:10" x14ac:dyDescent="0.25">
      <c r="A91" t="s">
        <v>849</v>
      </c>
      <c r="B91" t="str">
        <f t="shared" si="2"/>
        <v>[[Plant Growth]]</v>
      </c>
      <c r="C91">
        <v>3</v>
      </c>
      <c r="D91" t="s">
        <v>718</v>
      </c>
      <c r="E91" t="s">
        <v>850</v>
      </c>
      <c r="F91" t="s">
        <v>733</v>
      </c>
      <c r="G91" t="s">
        <v>730</v>
      </c>
      <c r="H91" t="s">
        <v>721</v>
      </c>
    </row>
    <row r="92" spans="1:10" x14ac:dyDescent="0.25">
      <c r="A92" t="s">
        <v>1011</v>
      </c>
      <c r="B92" t="str">
        <f t="shared" si="2"/>
        <v>[[Poison Spray]]</v>
      </c>
      <c r="C92">
        <v>0</v>
      </c>
      <c r="D92" t="s">
        <v>735</v>
      </c>
      <c r="E92" t="s">
        <v>710</v>
      </c>
      <c r="F92" t="s">
        <v>711</v>
      </c>
      <c r="G92" t="s">
        <v>730</v>
      </c>
      <c r="H92" t="s">
        <v>721</v>
      </c>
    </row>
    <row r="93" spans="1:10" x14ac:dyDescent="0.25">
      <c r="A93" t="s">
        <v>851</v>
      </c>
      <c r="B93" t="str">
        <f t="shared" si="2"/>
        <v>[[Polymorph]]</v>
      </c>
      <c r="C93">
        <v>4</v>
      </c>
      <c r="D93" t="s">
        <v>718</v>
      </c>
      <c r="E93" t="s">
        <v>710</v>
      </c>
      <c r="F93" t="s">
        <v>725</v>
      </c>
      <c r="G93" t="s">
        <v>724</v>
      </c>
      <c r="H93" t="s">
        <v>713</v>
      </c>
      <c r="I93" t="s">
        <v>722</v>
      </c>
    </row>
    <row r="94" spans="1:10" x14ac:dyDescent="0.25">
      <c r="A94" t="s">
        <v>1012</v>
      </c>
      <c r="B94" t="str">
        <f t="shared" si="2"/>
        <v>[[Produce Flame]]</v>
      </c>
      <c r="C94">
        <v>0</v>
      </c>
      <c r="D94" t="s">
        <v>749</v>
      </c>
      <c r="E94" t="s">
        <v>804</v>
      </c>
      <c r="F94" t="s">
        <v>738</v>
      </c>
      <c r="G94" t="s">
        <v>746</v>
      </c>
      <c r="H94" t="s">
        <v>721</v>
      </c>
    </row>
    <row r="95" spans="1:10" x14ac:dyDescent="0.25">
      <c r="A95" t="s">
        <v>949</v>
      </c>
      <c r="B95" t="str">
        <f t="shared" si="2"/>
        <v>[[Protection from Energy]]</v>
      </c>
      <c r="C95">
        <v>3</v>
      </c>
      <c r="D95" t="s">
        <v>737</v>
      </c>
      <c r="E95" t="s">
        <v>710</v>
      </c>
      <c r="F95" t="s">
        <v>729</v>
      </c>
      <c r="G95" t="s">
        <v>724</v>
      </c>
      <c r="H95" t="s">
        <v>721</v>
      </c>
      <c r="I95" t="s">
        <v>722</v>
      </c>
    </row>
    <row r="96" spans="1:10" x14ac:dyDescent="0.25">
      <c r="A96" t="s">
        <v>950</v>
      </c>
      <c r="B96" t="str">
        <f t="shared" si="2"/>
        <v>[[Protection from Evil and Good]]</v>
      </c>
      <c r="C96">
        <v>1</v>
      </c>
      <c r="D96" t="s">
        <v>737</v>
      </c>
      <c r="E96" t="s">
        <v>710</v>
      </c>
      <c r="F96" t="s">
        <v>729</v>
      </c>
      <c r="G96" t="s">
        <v>746</v>
      </c>
      <c r="H96" t="s">
        <v>713</v>
      </c>
      <c r="I96" t="s">
        <v>722</v>
      </c>
    </row>
    <row r="97" spans="1:10" x14ac:dyDescent="0.25">
      <c r="A97" t="s">
        <v>951</v>
      </c>
      <c r="B97" t="str">
        <f t="shared" ref="B97:B128" si="3">"[["&amp;A97&amp;"]]"</f>
        <v>[[Protection from Poison]]</v>
      </c>
      <c r="C97">
        <v>2</v>
      </c>
      <c r="D97" t="s">
        <v>737</v>
      </c>
      <c r="E97" t="s">
        <v>710</v>
      </c>
      <c r="F97" t="s">
        <v>729</v>
      </c>
      <c r="G97" t="s">
        <v>724</v>
      </c>
      <c r="H97" t="s">
        <v>721</v>
      </c>
    </row>
    <row r="98" spans="1:10" x14ac:dyDescent="0.25">
      <c r="A98" t="s">
        <v>952</v>
      </c>
      <c r="B98" t="str">
        <f t="shared" si="3"/>
        <v>[[Purify Food and Drink]]</v>
      </c>
      <c r="C98">
        <v>1</v>
      </c>
      <c r="D98" t="s">
        <v>718</v>
      </c>
      <c r="E98" t="s">
        <v>715</v>
      </c>
      <c r="F98" t="s">
        <v>791</v>
      </c>
      <c r="G98" t="s">
        <v>730</v>
      </c>
      <c r="H98" t="s">
        <v>721</v>
      </c>
      <c r="J98" t="s">
        <v>716</v>
      </c>
    </row>
    <row r="99" spans="1:10" x14ac:dyDescent="0.25">
      <c r="A99" t="s">
        <v>864</v>
      </c>
      <c r="B99" t="str">
        <f t="shared" si="3"/>
        <v>[[Regenerate]]</v>
      </c>
      <c r="C99">
        <v>7</v>
      </c>
      <c r="D99" t="s">
        <v>718</v>
      </c>
      <c r="E99" t="s">
        <v>720</v>
      </c>
      <c r="F99" t="s">
        <v>729</v>
      </c>
      <c r="G99" t="s">
        <v>724</v>
      </c>
      <c r="H99" t="s">
        <v>713</v>
      </c>
    </row>
    <row r="100" spans="1:10" x14ac:dyDescent="0.25">
      <c r="A100" t="s">
        <v>1013</v>
      </c>
      <c r="B100" t="str">
        <f t="shared" si="3"/>
        <v>[[Reincarnate]]</v>
      </c>
      <c r="C100">
        <v>5</v>
      </c>
      <c r="D100" t="s">
        <v>735</v>
      </c>
      <c r="E100" t="s">
        <v>724</v>
      </c>
      <c r="F100" t="s">
        <v>729</v>
      </c>
      <c r="G100" t="s">
        <v>730</v>
      </c>
      <c r="H100" t="s">
        <v>713</v>
      </c>
    </row>
    <row r="101" spans="1:10" x14ac:dyDescent="0.25">
      <c r="A101" t="s">
        <v>954</v>
      </c>
      <c r="B101" t="str">
        <f t="shared" si="3"/>
        <v>[[Resistance]]</v>
      </c>
      <c r="C101">
        <v>0</v>
      </c>
      <c r="D101" t="s">
        <v>737</v>
      </c>
      <c r="E101" t="s">
        <v>710</v>
      </c>
      <c r="F101" t="s">
        <v>729</v>
      </c>
      <c r="G101" t="s">
        <v>720</v>
      </c>
      <c r="H101" t="s">
        <v>721</v>
      </c>
      <c r="I101" t="s">
        <v>722</v>
      </c>
    </row>
    <row r="102" spans="1:10" x14ac:dyDescent="0.25">
      <c r="A102" t="s">
        <v>1014</v>
      </c>
      <c r="B102" t="str">
        <f t="shared" si="3"/>
        <v>[[Reverse Gravity]]</v>
      </c>
      <c r="C102">
        <v>7</v>
      </c>
      <c r="D102" t="s">
        <v>718</v>
      </c>
      <c r="E102" t="s">
        <v>710</v>
      </c>
      <c r="F102" t="s">
        <v>786</v>
      </c>
      <c r="G102" t="s">
        <v>720</v>
      </c>
      <c r="H102" t="s">
        <v>713</v>
      </c>
      <c r="I102" t="s">
        <v>722</v>
      </c>
    </row>
    <row r="103" spans="1:10" x14ac:dyDescent="0.25">
      <c r="A103" t="s">
        <v>955</v>
      </c>
      <c r="B103" t="str">
        <f t="shared" si="3"/>
        <v>[[Revivify]]</v>
      </c>
      <c r="C103">
        <v>3</v>
      </c>
      <c r="D103" t="s">
        <v>735</v>
      </c>
      <c r="E103" t="s">
        <v>710</v>
      </c>
      <c r="F103" t="s">
        <v>729</v>
      </c>
      <c r="G103" t="s">
        <v>730</v>
      </c>
      <c r="H103" t="s">
        <v>713</v>
      </c>
    </row>
    <row r="104" spans="1:10" x14ac:dyDescent="0.25">
      <c r="A104" t="s">
        <v>866</v>
      </c>
      <c r="B104" t="str">
        <f t="shared" si="3"/>
        <v>[[Scrying]]</v>
      </c>
      <c r="C104">
        <v>5</v>
      </c>
      <c r="D104" t="s">
        <v>745</v>
      </c>
      <c r="E104" t="s">
        <v>746</v>
      </c>
      <c r="F104" t="s">
        <v>738</v>
      </c>
      <c r="G104" t="s">
        <v>746</v>
      </c>
      <c r="H104" t="s">
        <v>713</v>
      </c>
      <c r="I104" t="s">
        <v>722</v>
      </c>
    </row>
    <row r="105" spans="1:10" x14ac:dyDescent="0.25">
      <c r="A105" t="s">
        <v>1015</v>
      </c>
      <c r="B105" t="str">
        <f t="shared" si="3"/>
        <v>[[Shapechange]]</v>
      </c>
      <c r="C105">
        <v>9</v>
      </c>
      <c r="D105" t="s">
        <v>718</v>
      </c>
      <c r="E105" t="s">
        <v>710</v>
      </c>
      <c r="F105" t="s">
        <v>738</v>
      </c>
      <c r="G105" t="s">
        <v>724</v>
      </c>
      <c r="H105" t="s">
        <v>713</v>
      </c>
      <c r="I105" t="s">
        <v>722</v>
      </c>
    </row>
    <row r="106" spans="1:10" x14ac:dyDescent="0.25">
      <c r="A106" t="s">
        <v>1016</v>
      </c>
      <c r="B106" t="str">
        <f t="shared" si="3"/>
        <v>[[Shillelagh]]</v>
      </c>
      <c r="C106">
        <v>0</v>
      </c>
      <c r="D106" t="s">
        <v>718</v>
      </c>
      <c r="E106" t="s">
        <v>804</v>
      </c>
      <c r="F106" t="s">
        <v>738</v>
      </c>
      <c r="G106" t="s">
        <v>720</v>
      </c>
      <c r="H106" t="s">
        <v>713</v>
      </c>
    </row>
    <row r="107" spans="1:10" x14ac:dyDescent="0.25">
      <c r="A107" t="s">
        <v>1017</v>
      </c>
      <c r="B107" t="str">
        <f t="shared" si="3"/>
        <v>[[Sleet Storm]]</v>
      </c>
      <c r="C107">
        <v>3</v>
      </c>
      <c r="D107" t="s">
        <v>749</v>
      </c>
      <c r="E107" t="s">
        <v>710</v>
      </c>
      <c r="F107" t="s">
        <v>733</v>
      </c>
      <c r="G107" t="s">
        <v>720</v>
      </c>
      <c r="H107" t="s">
        <v>713</v>
      </c>
      <c r="I107" t="s">
        <v>722</v>
      </c>
    </row>
    <row r="108" spans="1:10" x14ac:dyDescent="0.25">
      <c r="A108" t="s">
        <v>959</v>
      </c>
      <c r="B108" t="str">
        <f t="shared" si="3"/>
        <v>[[Spare the Dying]]</v>
      </c>
      <c r="C108">
        <v>0</v>
      </c>
      <c r="D108" t="s">
        <v>735</v>
      </c>
      <c r="E108" t="s">
        <v>710</v>
      </c>
      <c r="F108" t="s">
        <v>960</v>
      </c>
      <c r="G108" t="s">
        <v>730</v>
      </c>
      <c r="H108" t="s">
        <v>721</v>
      </c>
    </row>
    <row r="109" spans="1:10" x14ac:dyDescent="0.25">
      <c r="A109" t="s">
        <v>876</v>
      </c>
      <c r="B109" t="str">
        <f t="shared" si="3"/>
        <v>[[Speak with Animals]]</v>
      </c>
      <c r="C109">
        <v>1</v>
      </c>
      <c r="D109" t="s">
        <v>745</v>
      </c>
      <c r="E109" t="s">
        <v>715</v>
      </c>
      <c r="F109" t="s">
        <v>738</v>
      </c>
      <c r="G109" t="s">
        <v>746</v>
      </c>
      <c r="H109" t="s">
        <v>721</v>
      </c>
      <c r="J109" t="s">
        <v>716</v>
      </c>
    </row>
    <row r="110" spans="1:10" x14ac:dyDescent="0.25">
      <c r="A110" t="s">
        <v>878</v>
      </c>
      <c r="B110" t="str">
        <f t="shared" si="3"/>
        <v>[[Speak with Plants]]</v>
      </c>
      <c r="C110">
        <v>3</v>
      </c>
      <c r="D110" t="s">
        <v>718</v>
      </c>
      <c r="E110" t="s">
        <v>710</v>
      </c>
      <c r="F110" t="s">
        <v>738</v>
      </c>
      <c r="G110" t="s">
        <v>746</v>
      </c>
      <c r="H110" t="s">
        <v>721</v>
      </c>
    </row>
    <row r="111" spans="1:10" x14ac:dyDescent="0.25">
      <c r="A111" t="s">
        <v>1018</v>
      </c>
      <c r="B111" t="str">
        <f t="shared" si="3"/>
        <v>[[Spike Growth]]</v>
      </c>
      <c r="C111">
        <v>2</v>
      </c>
      <c r="D111" t="s">
        <v>718</v>
      </c>
      <c r="E111" t="s">
        <v>710</v>
      </c>
      <c r="F111" t="s">
        <v>733</v>
      </c>
      <c r="G111" t="s">
        <v>746</v>
      </c>
      <c r="H111" t="s">
        <v>713</v>
      </c>
      <c r="I111" t="s">
        <v>722</v>
      </c>
    </row>
    <row r="112" spans="1:10" x14ac:dyDescent="0.25">
      <c r="A112" t="s">
        <v>879</v>
      </c>
      <c r="B112" t="str">
        <f t="shared" si="3"/>
        <v>[[Starry Wisp]]</v>
      </c>
      <c r="C112">
        <v>0</v>
      </c>
      <c r="D112" t="s">
        <v>777</v>
      </c>
      <c r="E112" t="s">
        <v>710</v>
      </c>
      <c r="F112" t="s">
        <v>725</v>
      </c>
      <c r="G112" t="s">
        <v>730</v>
      </c>
      <c r="H112" t="s">
        <v>721</v>
      </c>
    </row>
    <row r="113" spans="1:9" x14ac:dyDescent="0.25">
      <c r="A113" t="s">
        <v>963</v>
      </c>
      <c r="B113" t="str">
        <f t="shared" si="3"/>
        <v>[[Stone Shape]]</v>
      </c>
      <c r="C113">
        <v>4</v>
      </c>
      <c r="D113" t="s">
        <v>718</v>
      </c>
      <c r="E113" t="s">
        <v>710</v>
      </c>
      <c r="F113" t="s">
        <v>729</v>
      </c>
      <c r="G113" t="s">
        <v>730</v>
      </c>
      <c r="H113" t="s">
        <v>713</v>
      </c>
    </row>
    <row r="114" spans="1:9" x14ac:dyDescent="0.25">
      <c r="A114" t="s">
        <v>1019</v>
      </c>
      <c r="B114" t="str">
        <f t="shared" si="3"/>
        <v>[[Stoneskin]]</v>
      </c>
      <c r="C114">
        <v>4</v>
      </c>
      <c r="D114" t="s">
        <v>718</v>
      </c>
      <c r="E114" t="s">
        <v>710</v>
      </c>
      <c r="F114" t="s">
        <v>729</v>
      </c>
      <c r="G114" t="s">
        <v>724</v>
      </c>
      <c r="H114" t="s">
        <v>713</v>
      </c>
      <c r="I114" t="s">
        <v>722</v>
      </c>
    </row>
    <row r="115" spans="1:9" x14ac:dyDescent="0.25">
      <c r="A115" t="s">
        <v>1020</v>
      </c>
      <c r="B115" t="str">
        <f t="shared" si="3"/>
        <v>[[Storm of Vengeance]]</v>
      </c>
      <c r="C115">
        <v>9</v>
      </c>
      <c r="D115" t="s">
        <v>749</v>
      </c>
      <c r="E115" t="s">
        <v>710</v>
      </c>
      <c r="F115" t="s">
        <v>747</v>
      </c>
      <c r="G115" t="s">
        <v>720</v>
      </c>
      <c r="H115" t="s">
        <v>721</v>
      </c>
      <c r="I115" t="s">
        <v>722</v>
      </c>
    </row>
    <row r="116" spans="1:9" x14ac:dyDescent="0.25">
      <c r="A116" t="s">
        <v>1021</v>
      </c>
      <c r="B116" t="str">
        <f t="shared" si="3"/>
        <v>[[Summon Beast]]</v>
      </c>
      <c r="C116">
        <v>2</v>
      </c>
      <c r="D116" t="s">
        <v>749</v>
      </c>
      <c r="E116" t="s">
        <v>710</v>
      </c>
      <c r="F116" t="s">
        <v>756</v>
      </c>
      <c r="G116" t="s">
        <v>724</v>
      </c>
      <c r="H116" t="s">
        <v>713</v>
      </c>
      <c r="I116" t="s">
        <v>722</v>
      </c>
    </row>
    <row r="117" spans="1:9" x14ac:dyDescent="0.25">
      <c r="A117" t="s">
        <v>1022</v>
      </c>
      <c r="B117" t="str">
        <f t="shared" si="3"/>
        <v>[[Summon Elemental]]</v>
      </c>
      <c r="C117">
        <v>4</v>
      </c>
      <c r="D117" t="s">
        <v>749</v>
      </c>
      <c r="E117" t="s">
        <v>710</v>
      </c>
      <c r="F117" t="s">
        <v>756</v>
      </c>
      <c r="G117" t="s">
        <v>724</v>
      </c>
      <c r="H117" t="s">
        <v>713</v>
      </c>
      <c r="I117" t="s">
        <v>722</v>
      </c>
    </row>
    <row r="118" spans="1:9" x14ac:dyDescent="0.25">
      <c r="A118" t="s">
        <v>1023</v>
      </c>
      <c r="B118" t="str">
        <f t="shared" si="3"/>
        <v>[[Summon Fey]]</v>
      </c>
      <c r="C118">
        <v>3</v>
      </c>
      <c r="D118" t="s">
        <v>749</v>
      </c>
      <c r="E118" t="s">
        <v>710</v>
      </c>
      <c r="F118" t="s">
        <v>756</v>
      </c>
      <c r="G118" t="s">
        <v>724</v>
      </c>
      <c r="H118" t="s">
        <v>713</v>
      </c>
      <c r="I118" t="s">
        <v>722</v>
      </c>
    </row>
    <row r="119" spans="1:9" x14ac:dyDescent="0.25">
      <c r="A119" t="s">
        <v>965</v>
      </c>
      <c r="B119" t="str">
        <f t="shared" si="3"/>
        <v>[[Sunbeam]]</v>
      </c>
      <c r="C119">
        <v>6</v>
      </c>
      <c r="D119" t="s">
        <v>777</v>
      </c>
      <c r="E119" t="s">
        <v>710</v>
      </c>
      <c r="F119" t="s">
        <v>738</v>
      </c>
      <c r="G119" t="s">
        <v>720</v>
      </c>
      <c r="H119" t="s">
        <v>713</v>
      </c>
      <c r="I119" t="s">
        <v>722</v>
      </c>
    </row>
    <row r="120" spans="1:9" x14ac:dyDescent="0.25">
      <c r="A120" t="s">
        <v>966</v>
      </c>
      <c r="B120" t="str">
        <f t="shared" si="3"/>
        <v>[[Sunburst]]</v>
      </c>
      <c r="C120">
        <v>8</v>
      </c>
      <c r="D120" t="s">
        <v>777</v>
      </c>
      <c r="E120" t="s">
        <v>710</v>
      </c>
      <c r="F120" t="s">
        <v>733</v>
      </c>
      <c r="G120" t="s">
        <v>730</v>
      </c>
      <c r="H120" t="s">
        <v>713</v>
      </c>
    </row>
    <row r="121" spans="1:9" x14ac:dyDescent="0.25">
      <c r="A121" t="s">
        <v>882</v>
      </c>
      <c r="B121" t="str">
        <f t="shared" si="3"/>
        <v>[[Symbol]]</v>
      </c>
      <c r="C121">
        <v>7</v>
      </c>
      <c r="D121" t="s">
        <v>737</v>
      </c>
      <c r="E121" t="s">
        <v>720</v>
      </c>
      <c r="F121" t="s">
        <v>729</v>
      </c>
      <c r="G121" t="s">
        <v>797</v>
      </c>
      <c r="H121" t="s">
        <v>713</v>
      </c>
    </row>
    <row r="122" spans="1:9" x14ac:dyDescent="0.25">
      <c r="A122" t="s">
        <v>1024</v>
      </c>
      <c r="B122" t="str">
        <f t="shared" si="3"/>
        <v>[[Thorn Whip]]</v>
      </c>
      <c r="C122">
        <v>0</v>
      </c>
      <c r="D122" t="s">
        <v>718</v>
      </c>
      <c r="E122" t="s">
        <v>710</v>
      </c>
      <c r="F122" t="s">
        <v>711</v>
      </c>
      <c r="G122" t="s">
        <v>730</v>
      </c>
      <c r="H122" t="s">
        <v>713</v>
      </c>
    </row>
    <row r="123" spans="1:9" x14ac:dyDescent="0.25">
      <c r="A123" t="s">
        <v>887</v>
      </c>
      <c r="B123" t="str">
        <f t="shared" si="3"/>
        <v>[[Thunderclap]]</v>
      </c>
      <c r="C123">
        <v>0</v>
      </c>
      <c r="D123" t="s">
        <v>777</v>
      </c>
      <c r="E123" t="s">
        <v>710</v>
      </c>
      <c r="F123" t="s">
        <v>738</v>
      </c>
      <c r="G123" t="s">
        <v>730</v>
      </c>
      <c r="H123" t="s">
        <v>840</v>
      </c>
    </row>
    <row r="124" spans="1:9" x14ac:dyDescent="0.25">
      <c r="A124" t="s">
        <v>888</v>
      </c>
      <c r="B124" t="str">
        <f t="shared" si="3"/>
        <v>[[Thunderwave]]</v>
      </c>
      <c r="C124">
        <v>1</v>
      </c>
      <c r="D124" t="s">
        <v>777</v>
      </c>
      <c r="E124" t="s">
        <v>710</v>
      </c>
      <c r="F124" t="s">
        <v>738</v>
      </c>
      <c r="G124" t="s">
        <v>730</v>
      </c>
      <c r="H124" t="s">
        <v>721</v>
      </c>
    </row>
    <row r="125" spans="1:9" x14ac:dyDescent="0.25">
      <c r="A125" t="s">
        <v>1025</v>
      </c>
      <c r="B125" t="str">
        <f t="shared" si="3"/>
        <v>[[Transport via Plants]]</v>
      </c>
      <c r="C125">
        <v>6</v>
      </c>
      <c r="D125" t="s">
        <v>749</v>
      </c>
      <c r="E125" t="s">
        <v>710</v>
      </c>
      <c r="F125" t="s">
        <v>791</v>
      </c>
      <c r="G125" t="s">
        <v>720</v>
      </c>
      <c r="H125" t="s">
        <v>721</v>
      </c>
    </row>
    <row r="126" spans="1:9" x14ac:dyDescent="0.25">
      <c r="A126" t="s">
        <v>1026</v>
      </c>
      <c r="B126" t="str">
        <f t="shared" si="3"/>
        <v>[[Tree Stride]]</v>
      </c>
      <c r="C126">
        <v>5</v>
      </c>
      <c r="D126" t="s">
        <v>749</v>
      </c>
      <c r="E126" t="s">
        <v>710</v>
      </c>
      <c r="F126" t="s">
        <v>738</v>
      </c>
      <c r="G126" t="s">
        <v>720</v>
      </c>
      <c r="H126" t="s">
        <v>721</v>
      </c>
      <c r="I126" t="s">
        <v>722</v>
      </c>
    </row>
    <row r="127" spans="1:9" x14ac:dyDescent="0.25">
      <c r="A127" t="s">
        <v>969</v>
      </c>
      <c r="B127" t="str">
        <f t="shared" si="3"/>
        <v>[[True Resurrection]]</v>
      </c>
      <c r="C127">
        <v>9</v>
      </c>
      <c r="D127" t="s">
        <v>735</v>
      </c>
      <c r="E127" t="s">
        <v>724</v>
      </c>
      <c r="F127" t="s">
        <v>729</v>
      </c>
      <c r="G127" t="s">
        <v>730</v>
      </c>
      <c r="H127" t="s">
        <v>713</v>
      </c>
    </row>
    <row r="128" spans="1:9" x14ac:dyDescent="0.25">
      <c r="A128" t="s">
        <v>1027</v>
      </c>
      <c r="B128" t="str">
        <f t="shared" si="3"/>
        <v>[[Tsunami]]</v>
      </c>
      <c r="C128">
        <v>8</v>
      </c>
      <c r="D128" t="s">
        <v>749</v>
      </c>
      <c r="E128" t="s">
        <v>720</v>
      </c>
      <c r="F128" t="s">
        <v>747</v>
      </c>
      <c r="G128" t="s">
        <v>1028</v>
      </c>
      <c r="H128" t="s">
        <v>721</v>
      </c>
      <c r="I128" t="s">
        <v>722</v>
      </c>
    </row>
    <row r="129" spans="1:10" x14ac:dyDescent="0.25">
      <c r="A129" t="s">
        <v>1029</v>
      </c>
      <c r="B129" t="str">
        <f t="shared" ref="B129:B135" si="4">"[["&amp;A129&amp;"]]"</f>
        <v>[[Wall of Fire]]</v>
      </c>
      <c r="C129">
        <v>4</v>
      </c>
      <c r="D129" t="s">
        <v>777</v>
      </c>
      <c r="E129" t="s">
        <v>710</v>
      </c>
      <c r="F129" t="s">
        <v>719</v>
      </c>
      <c r="G129" t="s">
        <v>720</v>
      </c>
      <c r="H129" t="s">
        <v>713</v>
      </c>
      <c r="I129" t="s">
        <v>722</v>
      </c>
    </row>
    <row r="130" spans="1:10" x14ac:dyDescent="0.25">
      <c r="A130" t="s">
        <v>1030</v>
      </c>
      <c r="B130" t="str">
        <f t="shared" si="4"/>
        <v>[[Wall of Stone]]</v>
      </c>
      <c r="C130">
        <v>5</v>
      </c>
      <c r="D130" t="s">
        <v>777</v>
      </c>
      <c r="E130" t="s">
        <v>710</v>
      </c>
      <c r="F130" t="s">
        <v>719</v>
      </c>
      <c r="G130" t="s">
        <v>746</v>
      </c>
      <c r="H130" t="s">
        <v>713</v>
      </c>
      <c r="I130" t="s">
        <v>722</v>
      </c>
    </row>
    <row r="131" spans="1:10" x14ac:dyDescent="0.25">
      <c r="A131" t="s">
        <v>1031</v>
      </c>
      <c r="B131" t="str">
        <f t="shared" si="4"/>
        <v>[[Wall of Thorns]]</v>
      </c>
      <c r="C131">
        <v>6</v>
      </c>
      <c r="D131" t="s">
        <v>749</v>
      </c>
      <c r="E131" t="s">
        <v>710</v>
      </c>
      <c r="F131" t="s">
        <v>719</v>
      </c>
      <c r="G131" t="s">
        <v>746</v>
      </c>
      <c r="H131" t="s">
        <v>713</v>
      </c>
      <c r="I131" t="s">
        <v>722</v>
      </c>
    </row>
    <row r="132" spans="1:10" x14ac:dyDescent="0.25">
      <c r="A132" t="s">
        <v>1032</v>
      </c>
      <c r="B132" t="str">
        <f t="shared" si="4"/>
        <v>[[Water Breathing]]</v>
      </c>
      <c r="C132">
        <v>3</v>
      </c>
      <c r="D132" t="s">
        <v>718</v>
      </c>
      <c r="E132" t="s">
        <v>715</v>
      </c>
      <c r="F132" t="s">
        <v>711</v>
      </c>
      <c r="G132" t="s">
        <v>712</v>
      </c>
      <c r="H132" t="s">
        <v>713</v>
      </c>
      <c r="J132" t="s">
        <v>716</v>
      </c>
    </row>
    <row r="133" spans="1:10" x14ac:dyDescent="0.25">
      <c r="A133" t="s">
        <v>971</v>
      </c>
      <c r="B133" t="str">
        <f t="shared" si="4"/>
        <v>[[Water Walk]]</v>
      </c>
      <c r="C133">
        <v>3</v>
      </c>
      <c r="D133" t="s">
        <v>718</v>
      </c>
      <c r="E133" t="s">
        <v>715</v>
      </c>
      <c r="F133" t="s">
        <v>711</v>
      </c>
      <c r="G133" t="s">
        <v>724</v>
      </c>
      <c r="H133" t="s">
        <v>713</v>
      </c>
      <c r="J133" t="s">
        <v>716</v>
      </c>
    </row>
    <row r="134" spans="1:10" x14ac:dyDescent="0.25">
      <c r="A134" t="s">
        <v>1033</v>
      </c>
      <c r="B134" t="str">
        <f t="shared" si="4"/>
        <v>[[Wind Walk]]</v>
      </c>
      <c r="C134">
        <v>6</v>
      </c>
      <c r="D134" t="s">
        <v>718</v>
      </c>
      <c r="E134" t="s">
        <v>720</v>
      </c>
      <c r="F134" t="s">
        <v>711</v>
      </c>
      <c r="G134" t="s">
        <v>728</v>
      </c>
      <c r="H134" t="s">
        <v>713</v>
      </c>
    </row>
    <row r="135" spans="1:10" x14ac:dyDescent="0.25">
      <c r="A135" t="s">
        <v>1034</v>
      </c>
      <c r="B135" t="str">
        <f t="shared" si="4"/>
        <v>[[Wind Wall]]</v>
      </c>
      <c r="C135">
        <v>3</v>
      </c>
      <c r="D135" t="s">
        <v>777</v>
      </c>
      <c r="E135" t="s">
        <v>710</v>
      </c>
      <c r="F135" t="s">
        <v>719</v>
      </c>
      <c r="G135" t="s">
        <v>720</v>
      </c>
      <c r="H135" t="s">
        <v>713</v>
      </c>
      <c r="I135" t="s">
        <v>722</v>
      </c>
    </row>
  </sheetData>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AC33A-E42B-49BF-830A-245562B65B0B}">
  <sheetPr codeName="Sheet5"/>
  <dimension ref="A1:J51"/>
  <sheetViews>
    <sheetView workbookViewId="0">
      <selection activeCell="B51" sqref="B1:J51"/>
    </sheetView>
  </sheetViews>
  <sheetFormatPr defaultRowHeight="15" x14ac:dyDescent="0.25"/>
  <sheetData>
    <row r="1" spans="1:9" x14ac:dyDescent="0.25">
      <c r="A1" t="s">
        <v>707</v>
      </c>
      <c r="B1" t="str">
        <f t="shared" ref="B1:B32" si="0">"[["&amp;A1&amp;"]]"</f>
        <v>[[Aid]]</v>
      </c>
      <c r="C1">
        <v>2</v>
      </c>
      <c r="D1" t="s">
        <v>737</v>
      </c>
      <c r="E1" t="s">
        <v>710</v>
      </c>
      <c r="F1" t="s">
        <v>711</v>
      </c>
      <c r="G1" t="s">
        <v>728</v>
      </c>
      <c r="H1" t="s">
        <v>713</v>
      </c>
    </row>
    <row r="2" spans="1:9" x14ac:dyDescent="0.25">
      <c r="A2" t="s">
        <v>901</v>
      </c>
      <c r="B2" t="str">
        <f t="shared" si="0"/>
        <v>[[Aura of Life]]</v>
      </c>
      <c r="C2">
        <v>4</v>
      </c>
      <c r="D2" t="s">
        <v>737</v>
      </c>
      <c r="E2" t="s">
        <v>710</v>
      </c>
      <c r="F2" t="s">
        <v>738</v>
      </c>
      <c r="G2" t="s">
        <v>746</v>
      </c>
      <c r="H2" t="s">
        <v>740</v>
      </c>
      <c r="I2" t="s">
        <v>722</v>
      </c>
    </row>
    <row r="3" spans="1:9" x14ac:dyDescent="0.25">
      <c r="A3" t="s">
        <v>902</v>
      </c>
      <c r="B3" t="str">
        <f t="shared" si="0"/>
        <v>[[Aura of Purity]]</v>
      </c>
      <c r="C3">
        <v>4</v>
      </c>
      <c r="D3" t="s">
        <v>737</v>
      </c>
      <c r="E3" t="s">
        <v>710</v>
      </c>
      <c r="F3" t="s">
        <v>738</v>
      </c>
      <c r="G3" t="s">
        <v>746</v>
      </c>
      <c r="H3" t="s">
        <v>740</v>
      </c>
      <c r="I3" t="s">
        <v>722</v>
      </c>
    </row>
    <row r="4" spans="1:9" x14ac:dyDescent="0.25">
      <c r="A4" t="s">
        <v>903</v>
      </c>
      <c r="B4" t="str">
        <f t="shared" si="0"/>
        <v>[[Aura of Vitality]]</v>
      </c>
      <c r="C4">
        <v>3</v>
      </c>
      <c r="D4" t="s">
        <v>737</v>
      </c>
      <c r="E4" t="s">
        <v>710</v>
      </c>
      <c r="F4" t="s">
        <v>738</v>
      </c>
      <c r="G4" t="s">
        <v>720</v>
      </c>
      <c r="H4" t="s">
        <v>740</v>
      </c>
      <c r="I4" t="s">
        <v>722</v>
      </c>
    </row>
    <row r="5" spans="1:9" x14ac:dyDescent="0.25">
      <c r="A5" t="s">
        <v>1035</v>
      </c>
      <c r="B5" t="str">
        <f t="shared" si="0"/>
        <v>[[Banishing Smite]]</v>
      </c>
      <c r="C5">
        <v>5</v>
      </c>
      <c r="D5" t="s">
        <v>749</v>
      </c>
      <c r="E5" t="s">
        <v>804</v>
      </c>
      <c r="F5" t="s">
        <v>738</v>
      </c>
      <c r="G5" t="s">
        <v>720</v>
      </c>
      <c r="H5" t="s">
        <v>740</v>
      </c>
      <c r="I5" t="s">
        <v>722</v>
      </c>
    </row>
    <row r="6" spans="1:9" x14ac:dyDescent="0.25">
      <c r="A6" t="s">
        <v>904</v>
      </c>
      <c r="B6" t="str">
        <f t="shared" si="0"/>
        <v>[[Banishment]]</v>
      </c>
      <c r="C6">
        <v>4</v>
      </c>
      <c r="D6" t="s">
        <v>737</v>
      </c>
      <c r="E6" t="s">
        <v>710</v>
      </c>
      <c r="F6" t="s">
        <v>711</v>
      </c>
      <c r="G6" t="s">
        <v>720</v>
      </c>
      <c r="H6" t="s">
        <v>713</v>
      </c>
      <c r="I6" t="s">
        <v>722</v>
      </c>
    </row>
    <row r="7" spans="1:9" x14ac:dyDescent="0.25">
      <c r="A7" t="s">
        <v>907</v>
      </c>
      <c r="B7" t="str">
        <f t="shared" si="0"/>
        <v>[[Bless]]</v>
      </c>
      <c r="C7">
        <v>1</v>
      </c>
      <c r="D7" t="s">
        <v>709</v>
      </c>
      <c r="E7" t="s">
        <v>710</v>
      </c>
      <c r="F7" t="s">
        <v>711</v>
      </c>
      <c r="G7" t="s">
        <v>720</v>
      </c>
      <c r="H7" t="s">
        <v>713</v>
      </c>
      <c r="I7" t="s">
        <v>722</v>
      </c>
    </row>
    <row r="8" spans="1:9" x14ac:dyDescent="0.25">
      <c r="A8" t="s">
        <v>1036</v>
      </c>
      <c r="B8" t="str">
        <f t="shared" si="0"/>
        <v>[[Blinding Smite]]</v>
      </c>
      <c r="C8">
        <v>3</v>
      </c>
      <c r="D8" t="s">
        <v>777</v>
      </c>
      <c r="E8" t="s">
        <v>804</v>
      </c>
      <c r="F8" t="s">
        <v>738</v>
      </c>
      <c r="G8" t="s">
        <v>720</v>
      </c>
      <c r="H8" t="s">
        <v>740</v>
      </c>
    </row>
    <row r="9" spans="1:9" x14ac:dyDescent="0.25">
      <c r="A9" t="s">
        <v>908</v>
      </c>
      <c r="B9" t="str">
        <f t="shared" si="0"/>
        <v>[[Circle of Power]]</v>
      </c>
      <c r="C9">
        <v>5</v>
      </c>
      <c r="D9" t="s">
        <v>737</v>
      </c>
      <c r="E9" t="s">
        <v>710</v>
      </c>
      <c r="F9" t="s">
        <v>738</v>
      </c>
      <c r="G9" t="s">
        <v>746</v>
      </c>
      <c r="H9" t="s">
        <v>740</v>
      </c>
      <c r="I9" t="s">
        <v>722</v>
      </c>
    </row>
    <row r="10" spans="1:9" x14ac:dyDescent="0.25">
      <c r="A10" t="s">
        <v>752</v>
      </c>
      <c r="B10" t="str">
        <f t="shared" si="0"/>
        <v>[[Command]]</v>
      </c>
      <c r="C10">
        <v>1</v>
      </c>
      <c r="D10" t="s">
        <v>709</v>
      </c>
      <c r="E10" t="s">
        <v>710</v>
      </c>
      <c r="F10" t="s">
        <v>725</v>
      </c>
      <c r="G10" t="s">
        <v>730</v>
      </c>
      <c r="H10" t="s">
        <v>740</v>
      </c>
    </row>
    <row r="11" spans="1:9" x14ac:dyDescent="0.25">
      <c r="A11" t="s">
        <v>1037</v>
      </c>
      <c r="B11" t="str">
        <f t="shared" si="0"/>
        <v>[[Compelled Duel]]</v>
      </c>
      <c r="C11">
        <v>1</v>
      </c>
      <c r="D11" t="s">
        <v>709</v>
      </c>
      <c r="E11" t="s">
        <v>804</v>
      </c>
      <c r="F11" t="s">
        <v>711</v>
      </c>
      <c r="G11" t="s">
        <v>720</v>
      </c>
      <c r="H11" t="s">
        <v>740</v>
      </c>
      <c r="I11" t="s">
        <v>722</v>
      </c>
    </row>
    <row r="12" spans="1:9" x14ac:dyDescent="0.25">
      <c r="A12" t="s">
        <v>916</v>
      </c>
      <c r="B12" t="str">
        <f t="shared" si="0"/>
        <v>[[Create Food and Water]]</v>
      </c>
      <c r="C12">
        <v>3</v>
      </c>
      <c r="D12" t="s">
        <v>749</v>
      </c>
      <c r="E12" t="s">
        <v>710</v>
      </c>
      <c r="F12" t="s">
        <v>711</v>
      </c>
      <c r="G12" t="s">
        <v>730</v>
      </c>
      <c r="H12" t="s">
        <v>721</v>
      </c>
    </row>
    <row r="13" spans="1:9" x14ac:dyDescent="0.25">
      <c r="A13" t="s">
        <v>1038</v>
      </c>
      <c r="B13" t="str">
        <f t="shared" si="0"/>
        <v>[[Crusader's Mantle]]</v>
      </c>
      <c r="C13">
        <v>3</v>
      </c>
      <c r="D13" t="s">
        <v>777</v>
      </c>
      <c r="E13" t="s">
        <v>710</v>
      </c>
      <c r="F13" t="s">
        <v>738</v>
      </c>
      <c r="G13" t="s">
        <v>720</v>
      </c>
      <c r="H13" t="s">
        <v>740</v>
      </c>
      <c r="I13" t="s">
        <v>722</v>
      </c>
    </row>
    <row r="14" spans="1:9" x14ac:dyDescent="0.25">
      <c r="A14" t="s">
        <v>758</v>
      </c>
      <c r="B14" t="str">
        <f t="shared" si="0"/>
        <v>[[Cure Wounds]]</v>
      </c>
      <c r="C14">
        <v>1</v>
      </c>
      <c r="D14" t="s">
        <v>737</v>
      </c>
      <c r="E14" t="s">
        <v>710</v>
      </c>
      <c r="F14" t="s">
        <v>729</v>
      </c>
      <c r="G14" t="s">
        <v>730</v>
      </c>
      <c r="H14" t="s">
        <v>721</v>
      </c>
    </row>
    <row r="15" spans="1:9" x14ac:dyDescent="0.25">
      <c r="A15" t="s">
        <v>919</v>
      </c>
      <c r="B15" t="str">
        <f t="shared" si="0"/>
        <v>[[Daylight]]</v>
      </c>
      <c r="C15">
        <v>3</v>
      </c>
      <c r="D15" t="s">
        <v>777</v>
      </c>
      <c r="E15" t="s">
        <v>710</v>
      </c>
      <c r="F15" t="s">
        <v>725</v>
      </c>
      <c r="G15" t="s">
        <v>724</v>
      </c>
      <c r="H15" t="s">
        <v>721</v>
      </c>
    </row>
    <row r="16" spans="1:9" x14ac:dyDescent="0.25">
      <c r="A16" t="s">
        <v>920</v>
      </c>
      <c r="B16" t="str">
        <f t="shared" si="0"/>
        <v>[[Death Ward]]</v>
      </c>
      <c r="C16">
        <v>4</v>
      </c>
      <c r="D16" t="s">
        <v>737</v>
      </c>
      <c r="E16" t="s">
        <v>710</v>
      </c>
      <c r="F16" t="s">
        <v>729</v>
      </c>
      <c r="G16" t="s">
        <v>728</v>
      </c>
      <c r="H16" t="s">
        <v>721</v>
      </c>
    </row>
    <row r="17" spans="1:10" x14ac:dyDescent="0.25">
      <c r="A17" t="s">
        <v>1039</v>
      </c>
      <c r="B17" t="str">
        <f t="shared" si="0"/>
        <v>[[Destructive Wave]]</v>
      </c>
      <c r="C17">
        <v>5</v>
      </c>
      <c r="D17" t="s">
        <v>777</v>
      </c>
      <c r="E17" t="s">
        <v>710</v>
      </c>
      <c r="F17" t="s">
        <v>738</v>
      </c>
      <c r="G17" t="s">
        <v>730</v>
      </c>
      <c r="H17" t="s">
        <v>740</v>
      </c>
    </row>
    <row r="18" spans="1:10" x14ac:dyDescent="0.25">
      <c r="A18" t="s">
        <v>921</v>
      </c>
      <c r="B18" t="str">
        <f t="shared" si="0"/>
        <v>[[Detect Evil and Good]]</v>
      </c>
      <c r="C18">
        <v>1</v>
      </c>
      <c r="D18" t="s">
        <v>745</v>
      </c>
      <c r="E18" t="s">
        <v>710</v>
      </c>
      <c r="F18" t="s">
        <v>738</v>
      </c>
      <c r="G18" t="s">
        <v>746</v>
      </c>
      <c r="H18" t="s">
        <v>721</v>
      </c>
      <c r="I18" t="s">
        <v>722</v>
      </c>
    </row>
    <row r="19" spans="1:10" x14ac:dyDescent="0.25">
      <c r="A19" t="s">
        <v>760</v>
      </c>
      <c r="B19" t="str">
        <f t="shared" si="0"/>
        <v>[[Detect Magic]]</v>
      </c>
      <c r="C19">
        <v>1</v>
      </c>
      <c r="D19" t="s">
        <v>745</v>
      </c>
      <c r="E19" t="s">
        <v>715</v>
      </c>
      <c r="F19" t="s">
        <v>738</v>
      </c>
      <c r="G19" t="s">
        <v>746</v>
      </c>
      <c r="H19" t="s">
        <v>721</v>
      </c>
      <c r="I19" t="s">
        <v>722</v>
      </c>
      <c r="J19" t="s">
        <v>716</v>
      </c>
    </row>
    <row r="20" spans="1:10" x14ac:dyDescent="0.25">
      <c r="A20" t="s">
        <v>922</v>
      </c>
      <c r="B20" t="str">
        <f t="shared" si="0"/>
        <v>[[Detect Poison and Disease]]</v>
      </c>
      <c r="C20">
        <v>1</v>
      </c>
      <c r="D20" t="s">
        <v>745</v>
      </c>
      <c r="E20" t="s">
        <v>715</v>
      </c>
      <c r="F20" t="s">
        <v>738</v>
      </c>
      <c r="G20" t="s">
        <v>746</v>
      </c>
      <c r="H20" t="s">
        <v>713</v>
      </c>
      <c r="I20" t="s">
        <v>722</v>
      </c>
      <c r="J20" t="s">
        <v>716</v>
      </c>
    </row>
    <row r="21" spans="1:10" x14ac:dyDescent="0.25">
      <c r="A21" t="s">
        <v>923</v>
      </c>
      <c r="B21" t="str">
        <f t="shared" si="0"/>
        <v>[[Dispel Evil and Good]]</v>
      </c>
      <c r="C21">
        <v>5</v>
      </c>
      <c r="D21" t="s">
        <v>737</v>
      </c>
      <c r="E21" t="s">
        <v>710</v>
      </c>
      <c r="F21" t="s">
        <v>738</v>
      </c>
      <c r="G21" t="s">
        <v>720</v>
      </c>
      <c r="H21" t="s">
        <v>713</v>
      </c>
      <c r="I21" t="s">
        <v>722</v>
      </c>
    </row>
    <row r="22" spans="1:10" x14ac:dyDescent="0.25">
      <c r="A22" t="s">
        <v>765</v>
      </c>
      <c r="B22" t="str">
        <f t="shared" si="0"/>
        <v>[[Dispel Magic]]</v>
      </c>
      <c r="C22">
        <v>3</v>
      </c>
      <c r="D22" t="s">
        <v>737</v>
      </c>
      <c r="E22" t="s">
        <v>710</v>
      </c>
      <c r="F22" t="s">
        <v>719</v>
      </c>
      <c r="G22" t="s">
        <v>730</v>
      </c>
      <c r="H22" t="s">
        <v>721</v>
      </c>
    </row>
    <row r="23" spans="1:10" x14ac:dyDescent="0.25">
      <c r="A23" t="s">
        <v>1040</v>
      </c>
      <c r="B23" t="str">
        <f t="shared" si="0"/>
        <v>[[Divine Favor]]</v>
      </c>
      <c r="C23">
        <v>1</v>
      </c>
      <c r="D23" t="s">
        <v>718</v>
      </c>
      <c r="E23" t="s">
        <v>804</v>
      </c>
      <c r="F23" t="s">
        <v>738</v>
      </c>
      <c r="G23" t="s">
        <v>720</v>
      </c>
      <c r="H23" t="s">
        <v>721</v>
      </c>
    </row>
    <row r="24" spans="1:10" x14ac:dyDescent="0.25">
      <c r="A24" t="s">
        <v>1041</v>
      </c>
      <c r="B24" t="str">
        <f t="shared" si="0"/>
        <v>[[Divine Smite]]</v>
      </c>
      <c r="C24">
        <v>1</v>
      </c>
      <c r="D24" t="s">
        <v>777</v>
      </c>
      <c r="E24" t="s">
        <v>804</v>
      </c>
      <c r="F24" t="s">
        <v>738</v>
      </c>
      <c r="G24" t="s">
        <v>730</v>
      </c>
      <c r="H24" t="s">
        <v>740</v>
      </c>
    </row>
    <row r="25" spans="1:10" x14ac:dyDescent="0.25">
      <c r="A25" t="s">
        <v>991</v>
      </c>
      <c r="B25" t="str">
        <f t="shared" si="0"/>
        <v>[[Elemental Weapon]]</v>
      </c>
      <c r="C25">
        <v>3</v>
      </c>
      <c r="D25" t="s">
        <v>718</v>
      </c>
      <c r="E25" t="s">
        <v>710</v>
      </c>
      <c r="F25" t="s">
        <v>729</v>
      </c>
      <c r="G25" t="s">
        <v>724</v>
      </c>
      <c r="H25" t="s">
        <v>721</v>
      </c>
      <c r="I25" t="s">
        <v>722</v>
      </c>
    </row>
    <row r="26" spans="1:10" x14ac:dyDescent="0.25">
      <c r="A26" t="s">
        <v>1042</v>
      </c>
      <c r="B26" t="str">
        <f t="shared" si="0"/>
        <v>[[Find Steed]]</v>
      </c>
      <c r="C26">
        <v>2</v>
      </c>
      <c r="D26" t="s">
        <v>749</v>
      </c>
      <c r="E26" t="s">
        <v>710</v>
      </c>
      <c r="F26" t="s">
        <v>711</v>
      </c>
      <c r="G26" t="s">
        <v>730</v>
      </c>
      <c r="H26" t="s">
        <v>721</v>
      </c>
    </row>
    <row r="27" spans="1:10" x14ac:dyDescent="0.25">
      <c r="A27" t="s">
        <v>793</v>
      </c>
      <c r="B27" t="str">
        <f t="shared" si="0"/>
        <v>[[Geas]]</v>
      </c>
      <c r="C27">
        <v>5</v>
      </c>
      <c r="D27" t="s">
        <v>709</v>
      </c>
      <c r="E27" t="s">
        <v>720</v>
      </c>
      <c r="F27" t="s">
        <v>725</v>
      </c>
      <c r="G27" t="s">
        <v>794</v>
      </c>
      <c r="H27" t="s">
        <v>740</v>
      </c>
    </row>
    <row r="28" spans="1:10" x14ac:dyDescent="0.25">
      <c r="A28" t="s">
        <v>933</v>
      </c>
      <c r="B28" t="str">
        <f t="shared" si="0"/>
        <v>[[Gentle Repose]]</v>
      </c>
      <c r="C28">
        <v>2</v>
      </c>
      <c r="D28" t="s">
        <v>735</v>
      </c>
      <c r="E28" t="s">
        <v>715</v>
      </c>
      <c r="F28" t="s">
        <v>729</v>
      </c>
      <c r="G28" t="s">
        <v>726</v>
      </c>
      <c r="H28" t="s">
        <v>713</v>
      </c>
      <c r="J28" t="s">
        <v>716</v>
      </c>
    </row>
    <row r="29" spans="1:10" x14ac:dyDescent="0.25">
      <c r="A29" t="s">
        <v>799</v>
      </c>
      <c r="B29" t="str">
        <f t="shared" si="0"/>
        <v>[[Greater Restoration]]</v>
      </c>
      <c r="C29">
        <v>5</v>
      </c>
      <c r="D29" t="s">
        <v>737</v>
      </c>
      <c r="E29" t="s">
        <v>710</v>
      </c>
      <c r="F29" t="s">
        <v>729</v>
      </c>
      <c r="G29" t="s">
        <v>730</v>
      </c>
      <c r="H29" t="s">
        <v>713</v>
      </c>
    </row>
    <row r="30" spans="1:10" x14ac:dyDescent="0.25">
      <c r="A30" t="s">
        <v>807</v>
      </c>
      <c r="B30" t="str">
        <f t="shared" si="0"/>
        <v>[[Heroism]]</v>
      </c>
      <c r="C30">
        <v>1</v>
      </c>
      <c r="D30" t="s">
        <v>709</v>
      </c>
      <c r="E30" t="s">
        <v>710</v>
      </c>
      <c r="F30" t="s">
        <v>729</v>
      </c>
      <c r="G30" t="s">
        <v>720</v>
      </c>
      <c r="H30" t="s">
        <v>721</v>
      </c>
      <c r="I30" t="s">
        <v>722</v>
      </c>
    </row>
    <row r="31" spans="1:10" x14ac:dyDescent="0.25">
      <c r="A31" t="s">
        <v>818</v>
      </c>
      <c r="B31" t="str">
        <f t="shared" si="0"/>
        <v>[[Lesser Restoration]]</v>
      </c>
      <c r="C31">
        <v>2</v>
      </c>
      <c r="D31" t="s">
        <v>737</v>
      </c>
      <c r="E31" t="s">
        <v>804</v>
      </c>
      <c r="F31" t="s">
        <v>729</v>
      </c>
      <c r="G31" t="s">
        <v>730</v>
      </c>
      <c r="H31" t="s">
        <v>721</v>
      </c>
    </row>
    <row r="32" spans="1:10" x14ac:dyDescent="0.25">
      <c r="A32" t="s">
        <v>821</v>
      </c>
      <c r="B32" t="str">
        <f t="shared" si="0"/>
        <v>[[Locate Creature]]</v>
      </c>
      <c r="C32">
        <v>4</v>
      </c>
      <c r="D32" t="s">
        <v>745</v>
      </c>
      <c r="E32" t="s">
        <v>710</v>
      </c>
      <c r="F32" t="s">
        <v>738</v>
      </c>
      <c r="G32" t="s">
        <v>724</v>
      </c>
      <c r="H32" t="s">
        <v>713</v>
      </c>
      <c r="I32" t="s">
        <v>722</v>
      </c>
    </row>
    <row r="33" spans="1:10" x14ac:dyDescent="0.25">
      <c r="A33" t="s">
        <v>822</v>
      </c>
      <c r="B33" t="str">
        <f t="shared" ref="B33:B51" si="1">"[["&amp;A33&amp;"]]"</f>
        <v>[[Locate Object]]</v>
      </c>
      <c r="C33">
        <v>2</v>
      </c>
      <c r="D33" t="s">
        <v>745</v>
      </c>
      <c r="E33" t="s">
        <v>710</v>
      </c>
      <c r="F33" t="s">
        <v>738</v>
      </c>
      <c r="G33" t="s">
        <v>746</v>
      </c>
      <c r="H33" t="s">
        <v>713</v>
      </c>
      <c r="I33" t="s">
        <v>722</v>
      </c>
    </row>
    <row r="34" spans="1:10" x14ac:dyDescent="0.25">
      <c r="A34" t="s">
        <v>943</v>
      </c>
      <c r="B34" t="str">
        <f t="shared" si="1"/>
        <v>[[Magic Circle]]</v>
      </c>
      <c r="C34">
        <v>3</v>
      </c>
      <c r="D34" t="s">
        <v>737</v>
      </c>
      <c r="E34" t="s">
        <v>720</v>
      </c>
      <c r="F34" t="s">
        <v>791</v>
      </c>
      <c r="G34" t="s">
        <v>724</v>
      </c>
      <c r="H34" t="s">
        <v>713</v>
      </c>
    </row>
    <row r="35" spans="1:10" x14ac:dyDescent="0.25">
      <c r="A35" t="s">
        <v>1043</v>
      </c>
      <c r="B35" t="str">
        <f t="shared" si="1"/>
        <v>[[Magic Weapon]]</v>
      </c>
      <c r="C35">
        <v>2</v>
      </c>
      <c r="D35" t="s">
        <v>718</v>
      </c>
      <c r="E35" t="s">
        <v>804</v>
      </c>
      <c r="F35" t="s">
        <v>729</v>
      </c>
      <c r="G35" t="s">
        <v>724</v>
      </c>
      <c r="H35" t="s">
        <v>721</v>
      </c>
    </row>
    <row r="36" spans="1:10" x14ac:dyDescent="0.25">
      <c r="A36" t="s">
        <v>948</v>
      </c>
      <c r="B36" t="str">
        <f t="shared" si="1"/>
        <v>[[Prayer of Healing]]</v>
      </c>
      <c r="C36">
        <v>2</v>
      </c>
      <c r="D36" t="s">
        <v>737</v>
      </c>
      <c r="E36" t="s">
        <v>746</v>
      </c>
      <c r="F36" t="s">
        <v>711</v>
      </c>
      <c r="G36" t="s">
        <v>730</v>
      </c>
      <c r="H36" t="s">
        <v>740</v>
      </c>
    </row>
    <row r="37" spans="1:10" x14ac:dyDescent="0.25">
      <c r="A37" t="s">
        <v>950</v>
      </c>
      <c r="B37" t="str">
        <f t="shared" si="1"/>
        <v>[[Protection from Evil and Good]]</v>
      </c>
      <c r="C37">
        <v>1</v>
      </c>
      <c r="D37" t="s">
        <v>737</v>
      </c>
      <c r="E37" t="s">
        <v>710</v>
      </c>
      <c r="F37" t="s">
        <v>729</v>
      </c>
      <c r="G37" t="s">
        <v>746</v>
      </c>
      <c r="H37" t="s">
        <v>713</v>
      </c>
      <c r="I37" t="s">
        <v>722</v>
      </c>
    </row>
    <row r="38" spans="1:10" x14ac:dyDescent="0.25">
      <c r="A38" t="s">
        <v>951</v>
      </c>
      <c r="B38" t="str">
        <f t="shared" si="1"/>
        <v>[[Protection from Poison]]</v>
      </c>
      <c r="C38">
        <v>2</v>
      </c>
      <c r="D38" t="s">
        <v>737</v>
      </c>
      <c r="E38" t="s">
        <v>710</v>
      </c>
      <c r="F38" t="s">
        <v>729</v>
      </c>
      <c r="G38" t="s">
        <v>724</v>
      </c>
      <c r="H38" t="s">
        <v>721</v>
      </c>
    </row>
    <row r="39" spans="1:10" x14ac:dyDescent="0.25">
      <c r="A39" t="s">
        <v>952</v>
      </c>
      <c r="B39" t="str">
        <f t="shared" si="1"/>
        <v>[[Purify Food and Drink]]</v>
      </c>
      <c r="C39">
        <v>1</v>
      </c>
      <c r="D39" t="s">
        <v>718</v>
      </c>
      <c r="E39" t="s">
        <v>715</v>
      </c>
      <c r="F39" t="s">
        <v>791</v>
      </c>
      <c r="G39" t="s">
        <v>730</v>
      </c>
      <c r="H39" t="s">
        <v>721</v>
      </c>
      <c r="J39" t="s">
        <v>716</v>
      </c>
    </row>
    <row r="40" spans="1:10" x14ac:dyDescent="0.25">
      <c r="A40" t="s">
        <v>862</v>
      </c>
      <c r="B40" t="str">
        <f t="shared" si="1"/>
        <v>[[Raise Dead]]</v>
      </c>
      <c r="C40">
        <v>5</v>
      </c>
      <c r="D40" t="s">
        <v>735</v>
      </c>
      <c r="E40" t="s">
        <v>724</v>
      </c>
      <c r="F40" t="s">
        <v>729</v>
      </c>
      <c r="G40" t="s">
        <v>730</v>
      </c>
      <c r="H40" t="s">
        <v>713</v>
      </c>
    </row>
    <row r="41" spans="1:10" x14ac:dyDescent="0.25">
      <c r="A41" t="s">
        <v>953</v>
      </c>
      <c r="B41" t="str">
        <f t="shared" si="1"/>
        <v>[[Remove Curse]]</v>
      </c>
      <c r="C41">
        <v>3</v>
      </c>
      <c r="D41" t="s">
        <v>737</v>
      </c>
      <c r="E41" t="s">
        <v>710</v>
      </c>
      <c r="F41" t="s">
        <v>729</v>
      </c>
      <c r="G41" t="s">
        <v>730</v>
      </c>
      <c r="H41" t="s">
        <v>721</v>
      </c>
    </row>
    <row r="42" spans="1:10" x14ac:dyDescent="0.25">
      <c r="A42" t="s">
        <v>955</v>
      </c>
      <c r="B42" t="str">
        <f t="shared" si="1"/>
        <v>[[Revivify]]</v>
      </c>
      <c r="C42">
        <v>3</v>
      </c>
      <c r="D42" t="s">
        <v>735</v>
      </c>
      <c r="E42" t="s">
        <v>710</v>
      </c>
      <c r="F42" t="s">
        <v>729</v>
      </c>
      <c r="G42" t="s">
        <v>730</v>
      </c>
      <c r="H42" t="s">
        <v>713</v>
      </c>
    </row>
    <row r="43" spans="1:10" x14ac:dyDescent="0.25">
      <c r="A43" t="s">
        <v>1044</v>
      </c>
      <c r="B43" t="str">
        <f t="shared" si="1"/>
        <v>[[Searing Smite]]</v>
      </c>
      <c r="C43">
        <v>1</v>
      </c>
      <c r="D43" t="s">
        <v>777</v>
      </c>
      <c r="E43" t="s">
        <v>804</v>
      </c>
      <c r="F43" t="s">
        <v>738</v>
      </c>
      <c r="G43" t="s">
        <v>720</v>
      </c>
      <c r="H43" t="s">
        <v>740</v>
      </c>
    </row>
    <row r="44" spans="1:10" x14ac:dyDescent="0.25">
      <c r="A44" t="s">
        <v>958</v>
      </c>
      <c r="B44" t="str">
        <f t="shared" si="1"/>
        <v>[[Shield of Faith]]</v>
      </c>
      <c r="C44">
        <v>1</v>
      </c>
      <c r="D44" t="s">
        <v>737</v>
      </c>
      <c r="E44" t="s">
        <v>804</v>
      </c>
      <c r="F44" t="s">
        <v>725</v>
      </c>
      <c r="G44" t="s">
        <v>746</v>
      </c>
      <c r="H44" t="s">
        <v>713</v>
      </c>
      <c r="I44" t="s">
        <v>722</v>
      </c>
    </row>
    <row r="45" spans="1:10" x14ac:dyDescent="0.25">
      <c r="A45" t="s">
        <v>1045</v>
      </c>
      <c r="B45" t="str">
        <f t="shared" si="1"/>
        <v>[[Shining Smite]]</v>
      </c>
      <c r="C45">
        <v>2</v>
      </c>
      <c r="D45" t="s">
        <v>718</v>
      </c>
      <c r="E45" t="s">
        <v>804</v>
      </c>
      <c r="F45" t="s">
        <v>738</v>
      </c>
      <c r="G45" t="s">
        <v>720</v>
      </c>
      <c r="H45" t="s">
        <v>740</v>
      </c>
      <c r="I45" t="s">
        <v>722</v>
      </c>
    </row>
    <row r="46" spans="1:10" x14ac:dyDescent="0.25">
      <c r="A46" t="s">
        <v>1046</v>
      </c>
      <c r="B46" t="str">
        <f t="shared" si="1"/>
        <v>[[Staggering Smite]]</v>
      </c>
      <c r="C46">
        <v>4</v>
      </c>
      <c r="D46" t="s">
        <v>709</v>
      </c>
      <c r="E46" t="s">
        <v>804</v>
      </c>
      <c r="F46" t="s">
        <v>738</v>
      </c>
      <c r="G46" t="s">
        <v>730</v>
      </c>
      <c r="H46" t="s">
        <v>740</v>
      </c>
    </row>
    <row r="47" spans="1:10" x14ac:dyDescent="0.25">
      <c r="A47" t="s">
        <v>964</v>
      </c>
      <c r="B47" t="str">
        <f t="shared" si="1"/>
        <v>[[Summon Celestial]]</v>
      </c>
      <c r="C47">
        <v>5</v>
      </c>
      <c r="D47" t="s">
        <v>749</v>
      </c>
      <c r="E47" t="s">
        <v>710</v>
      </c>
      <c r="F47" t="s">
        <v>756</v>
      </c>
      <c r="G47" t="s">
        <v>724</v>
      </c>
      <c r="H47" t="s">
        <v>713</v>
      </c>
      <c r="I47" t="s">
        <v>722</v>
      </c>
    </row>
    <row r="48" spans="1:10" x14ac:dyDescent="0.25">
      <c r="A48" t="s">
        <v>1047</v>
      </c>
      <c r="B48" t="str">
        <f t="shared" si="1"/>
        <v>[[Thunderous Smite]]</v>
      </c>
      <c r="C48">
        <v>1</v>
      </c>
      <c r="D48" t="s">
        <v>777</v>
      </c>
      <c r="E48" t="s">
        <v>804</v>
      </c>
      <c r="F48" t="s">
        <v>738</v>
      </c>
      <c r="G48" t="s">
        <v>730</v>
      </c>
      <c r="H48" t="s">
        <v>740</v>
      </c>
    </row>
    <row r="49" spans="1:8" x14ac:dyDescent="0.25">
      <c r="A49" t="s">
        <v>970</v>
      </c>
      <c r="B49" t="str">
        <f t="shared" si="1"/>
        <v>[[Warding Bond]]</v>
      </c>
      <c r="C49">
        <v>2</v>
      </c>
      <c r="D49" t="s">
        <v>737</v>
      </c>
      <c r="E49" t="s">
        <v>710</v>
      </c>
      <c r="F49" t="s">
        <v>729</v>
      </c>
      <c r="G49" t="s">
        <v>724</v>
      </c>
      <c r="H49" t="s">
        <v>713</v>
      </c>
    </row>
    <row r="50" spans="1:8" x14ac:dyDescent="0.25">
      <c r="A50" t="s">
        <v>1048</v>
      </c>
      <c r="B50" t="str">
        <f t="shared" si="1"/>
        <v>[[Wrathful Smite]]</v>
      </c>
      <c r="C50">
        <v>1</v>
      </c>
      <c r="D50" t="s">
        <v>735</v>
      </c>
      <c r="E50" t="s">
        <v>804</v>
      </c>
      <c r="F50" t="s">
        <v>738</v>
      </c>
      <c r="G50" t="s">
        <v>720</v>
      </c>
      <c r="H50" t="s">
        <v>740</v>
      </c>
    </row>
    <row r="51" spans="1:8" x14ac:dyDescent="0.25">
      <c r="A51" t="s">
        <v>896</v>
      </c>
      <c r="B51" t="str">
        <f t="shared" si="1"/>
        <v>[[Zone of Truth]]</v>
      </c>
      <c r="C51">
        <v>2</v>
      </c>
      <c r="D51" t="s">
        <v>709</v>
      </c>
      <c r="E51" t="s">
        <v>710</v>
      </c>
      <c r="F51" t="s">
        <v>725</v>
      </c>
      <c r="G51" t="s">
        <v>746</v>
      </c>
      <c r="H51" t="s">
        <v>721</v>
      </c>
    </row>
  </sheetData>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686A7-71C4-4875-8434-5D7F2998391F}">
  <sheetPr codeName="Sheet6"/>
  <dimension ref="A1:J61"/>
  <sheetViews>
    <sheetView topLeftCell="A38" workbookViewId="0">
      <selection activeCell="B1" sqref="B1:J61"/>
    </sheetView>
  </sheetViews>
  <sheetFormatPr defaultRowHeight="15" x14ac:dyDescent="0.25"/>
  <sheetData>
    <row r="1" spans="1:10" x14ac:dyDescent="0.25">
      <c r="A1" t="s">
        <v>707</v>
      </c>
      <c r="B1" t="str">
        <f t="shared" ref="B1:B32" si="0">"[["&amp;A1&amp;"]]"</f>
        <v>[[Aid]]</v>
      </c>
      <c r="C1">
        <v>2</v>
      </c>
      <c r="D1" t="s">
        <v>737</v>
      </c>
      <c r="E1" t="s">
        <v>710</v>
      </c>
      <c r="F1" t="s">
        <v>711</v>
      </c>
      <c r="G1" t="s">
        <v>728</v>
      </c>
      <c r="H1" t="s">
        <v>713</v>
      </c>
    </row>
    <row r="2" spans="1:10" x14ac:dyDescent="0.25">
      <c r="A2" t="s">
        <v>1049</v>
      </c>
      <c r="B2" t="str">
        <f t="shared" si="0"/>
        <v>[[Alarm]]</v>
      </c>
      <c r="C2">
        <v>1</v>
      </c>
      <c r="D2" t="s">
        <v>737</v>
      </c>
      <c r="E2" t="s">
        <v>812</v>
      </c>
      <c r="F2" t="s">
        <v>711</v>
      </c>
      <c r="G2" t="s">
        <v>728</v>
      </c>
      <c r="H2" t="s">
        <v>713</v>
      </c>
      <c r="J2" t="s">
        <v>716</v>
      </c>
    </row>
    <row r="3" spans="1:10" x14ac:dyDescent="0.25">
      <c r="A3" t="s">
        <v>708</v>
      </c>
      <c r="B3" t="str">
        <f t="shared" si="0"/>
        <v>[[Animal Friendship]]</v>
      </c>
      <c r="C3">
        <v>1</v>
      </c>
      <c r="D3" t="s">
        <v>709</v>
      </c>
      <c r="E3" t="s">
        <v>710</v>
      </c>
      <c r="F3" t="s">
        <v>711</v>
      </c>
      <c r="G3" t="s">
        <v>712</v>
      </c>
      <c r="H3" t="s">
        <v>713</v>
      </c>
    </row>
    <row r="4" spans="1:10" x14ac:dyDescent="0.25">
      <c r="A4" t="s">
        <v>714</v>
      </c>
      <c r="B4" t="str">
        <f t="shared" si="0"/>
        <v>[[Animal Messenger]]</v>
      </c>
      <c r="C4">
        <v>2</v>
      </c>
      <c r="D4" t="s">
        <v>709</v>
      </c>
      <c r="E4" t="s">
        <v>715</v>
      </c>
      <c r="F4" t="s">
        <v>711</v>
      </c>
      <c r="G4" t="s">
        <v>712</v>
      </c>
      <c r="H4" t="s">
        <v>713</v>
      </c>
      <c r="J4" t="s">
        <v>716</v>
      </c>
    </row>
    <row r="5" spans="1:10" x14ac:dyDescent="0.25">
      <c r="A5" t="s">
        <v>977</v>
      </c>
      <c r="B5" t="str">
        <f t="shared" si="0"/>
        <v>[[Barkskin]]</v>
      </c>
      <c r="C5">
        <v>2</v>
      </c>
      <c r="D5" t="s">
        <v>718</v>
      </c>
      <c r="E5" t="s">
        <v>804</v>
      </c>
      <c r="F5" t="s">
        <v>729</v>
      </c>
      <c r="G5" t="s">
        <v>724</v>
      </c>
      <c r="H5" t="s">
        <v>713</v>
      </c>
    </row>
    <row r="6" spans="1:10" x14ac:dyDescent="0.25">
      <c r="A6" t="s">
        <v>978</v>
      </c>
      <c r="B6" t="str">
        <f t="shared" si="0"/>
        <v>[[Beast Sense]]</v>
      </c>
      <c r="C6">
        <v>2</v>
      </c>
      <c r="D6" t="s">
        <v>745</v>
      </c>
      <c r="E6" t="s">
        <v>715</v>
      </c>
      <c r="F6" t="s">
        <v>729</v>
      </c>
      <c r="G6" t="s">
        <v>724</v>
      </c>
      <c r="H6" t="s">
        <v>840</v>
      </c>
      <c r="I6" t="s">
        <v>722</v>
      </c>
      <c r="J6" t="s">
        <v>716</v>
      </c>
    </row>
    <row r="7" spans="1:10" x14ac:dyDescent="0.25">
      <c r="A7" t="s">
        <v>981</v>
      </c>
      <c r="B7" t="str">
        <f t="shared" si="0"/>
        <v>[[Commune with Nature]]</v>
      </c>
      <c r="C7">
        <v>5</v>
      </c>
      <c r="D7" t="s">
        <v>745</v>
      </c>
      <c r="E7" t="s">
        <v>812</v>
      </c>
      <c r="F7" t="s">
        <v>738</v>
      </c>
      <c r="G7" t="s">
        <v>730</v>
      </c>
      <c r="H7" t="s">
        <v>721</v>
      </c>
      <c r="J7" t="s">
        <v>716</v>
      </c>
    </row>
    <row r="8" spans="1:10" x14ac:dyDescent="0.25">
      <c r="A8" t="s">
        <v>983</v>
      </c>
      <c r="B8" t="str">
        <f t="shared" si="0"/>
        <v>[[Conjure Animals]]</v>
      </c>
      <c r="C8">
        <v>3</v>
      </c>
      <c r="D8" t="s">
        <v>749</v>
      </c>
      <c r="E8" t="s">
        <v>710</v>
      </c>
      <c r="F8" t="s">
        <v>725</v>
      </c>
      <c r="G8" t="s">
        <v>746</v>
      </c>
      <c r="H8" t="s">
        <v>721</v>
      </c>
      <c r="I8" t="s">
        <v>722</v>
      </c>
    </row>
    <row r="9" spans="1:10" x14ac:dyDescent="0.25">
      <c r="A9" t="s">
        <v>1050</v>
      </c>
      <c r="B9" t="str">
        <f t="shared" si="0"/>
        <v>[[Conjure Barrage]]</v>
      </c>
      <c r="C9">
        <v>3</v>
      </c>
      <c r="D9" t="s">
        <v>749</v>
      </c>
      <c r="E9" t="s">
        <v>710</v>
      </c>
      <c r="F9" t="s">
        <v>738</v>
      </c>
      <c r="G9" t="s">
        <v>730</v>
      </c>
      <c r="H9" t="s">
        <v>713</v>
      </c>
    </row>
    <row r="10" spans="1:10" x14ac:dyDescent="0.25">
      <c r="A10" t="s">
        <v>1051</v>
      </c>
      <c r="B10" t="str">
        <f t="shared" si="0"/>
        <v>[[Conjure Volley]]</v>
      </c>
      <c r="C10">
        <v>5</v>
      </c>
      <c r="D10" t="s">
        <v>749</v>
      </c>
      <c r="E10" t="s">
        <v>710</v>
      </c>
      <c r="F10" t="s">
        <v>733</v>
      </c>
      <c r="G10" t="s">
        <v>730</v>
      </c>
      <c r="H10" t="s">
        <v>713</v>
      </c>
    </row>
    <row r="11" spans="1:10" x14ac:dyDescent="0.25">
      <c r="A11" t="s">
        <v>987</v>
      </c>
      <c r="B11" t="str">
        <f t="shared" si="0"/>
        <v>[[Conjure Woodland Beings]]</v>
      </c>
      <c r="C11">
        <v>4</v>
      </c>
      <c r="D11" t="s">
        <v>749</v>
      </c>
      <c r="E11" t="s">
        <v>710</v>
      </c>
      <c r="F11" t="s">
        <v>738</v>
      </c>
      <c r="G11" t="s">
        <v>746</v>
      </c>
      <c r="H11" t="s">
        <v>721</v>
      </c>
      <c r="I11" t="s">
        <v>722</v>
      </c>
    </row>
    <row r="12" spans="1:10" x14ac:dyDescent="0.25">
      <c r="A12" t="s">
        <v>1052</v>
      </c>
      <c r="B12" t="str">
        <f t="shared" si="0"/>
        <v>[[Cordon of Arrows]]</v>
      </c>
      <c r="C12">
        <v>2</v>
      </c>
      <c r="D12" t="s">
        <v>718</v>
      </c>
      <c r="E12" t="s">
        <v>710</v>
      </c>
      <c r="F12" t="s">
        <v>729</v>
      </c>
      <c r="G12" t="s">
        <v>728</v>
      </c>
      <c r="H12" t="s">
        <v>713</v>
      </c>
    </row>
    <row r="13" spans="1:10" x14ac:dyDescent="0.25">
      <c r="A13" t="s">
        <v>758</v>
      </c>
      <c r="B13" t="str">
        <f t="shared" si="0"/>
        <v>[[Cure Wounds]]</v>
      </c>
      <c r="C13">
        <v>1</v>
      </c>
      <c r="D13" t="s">
        <v>737</v>
      </c>
      <c r="E13" t="s">
        <v>710</v>
      </c>
      <c r="F13" t="s">
        <v>729</v>
      </c>
      <c r="G13" t="s">
        <v>730</v>
      </c>
      <c r="H13" t="s">
        <v>721</v>
      </c>
    </row>
    <row r="14" spans="1:10" x14ac:dyDescent="0.25">
      <c r="A14" t="s">
        <v>988</v>
      </c>
      <c r="B14" t="str">
        <f t="shared" si="0"/>
        <v>[[Darkvision]]</v>
      </c>
      <c r="C14">
        <v>2</v>
      </c>
      <c r="D14" t="s">
        <v>718</v>
      </c>
      <c r="E14" t="s">
        <v>710</v>
      </c>
      <c r="F14" t="s">
        <v>729</v>
      </c>
      <c r="G14" t="s">
        <v>728</v>
      </c>
      <c r="H14" t="s">
        <v>713</v>
      </c>
    </row>
    <row r="15" spans="1:10" x14ac:dyDescent="0.25">
      <c r="A15" t="s">
        <v>919</v>
      </c>
      <c r="B15" t="str">
        <f t="shared" si="0"/>
        <v>[[Daylight]]</v>
      </c>
      <c r="C15">
        <v>3</v>
      </c>
      <c r="D15" t="s">
        <v>777</v>
      </c>
      <c r="E15" t="s">
        <v>710</v>
      </c>
      <c r="F15" t="s">
        <v>725</v>
      </c>
      <c r="G15" t="s">
        <v>724</v>
      </c>
      <c r="H15" t="s">
        <v>721</v>
      </c>
    </row>
    <row r="16" spans="1:10" x14ac:dyDescent="0.25">
      <c r="A16" t="s">
        <v>760</v>
      </c>
      <c r="B16" t="str">
        <f t="shared" si="0"/>
        <v>[[Detect Magic]]</v>
      </c>
      <c r="C16">
        <v>1</v>
      </c>
      <c r="D16" t="s">
        <v>745</v>
      </c>
      <c r="E16" t="s">
        <v>715</v>
      </c>
      <c r="F16" t="s">
        <v>738</v>
      </c>
      <c r="G16" t="s">
        <v>746</v>
      </c>
      <c r="H16" t="s">
        <v>721</v>
      </c>
      <c r="I16" t="s">
        <v>722</v>
      </c>
      <c r="J16" t="s">
        <v>716</v>
      </c>
    </row>
    <row r="17" spans="1:10" x14ac:dyDescent="0.25">
      <c r="A17" t="s">
        <v>922</v>
      </c>
      <c r="B17" t="str">
        <f t="shared" si="0"/>
        <v>[[Detect Poison and Disease]]</v>
      </c>
      <c r="C17">
        <v>1</v>
      </c>
      <c r="D17" t="s">
        <v>745</v>
      </c>
      <c r="E17" t="s">
        <v>715</v>
      </c>
      <c r="F17" t="s">
        <v>738</v>
      </c>
      <c r="G17" t="s">
        <v>746</v>
      </c>
      <c r="H17" t="s">
        <v>713</v>
      </c>
      <c r="I17" t="s">
        <v>722</v>
      </c>
      <c r="J17" t="s">
        <v>716</v>
      </c>
    </row>
    <row r="18" spans="1:10" x14ac:dyDescent="0.25">
      <c r="A18" t="s">
        <v>765</v>
      </c>
      <c r="B18" t="str">
        <f t="shared" si="0"/>
        <v>[[Dispel Magic]]</v>
      </c>
      <c r="C18">
        <v>3</v>
      </c>
      <c r="D18" t="s">
        <v>737</v>
      </c>
      <c r="E18" t="s">
        <v>710</v>
      </c>
      <c r="F18" t="s">
        <v>719</v>
      </c>
      <c r="G18" t="s">
        <v>730</v>
      </c>
      <c r="H18" t="s">
        <v>721</v>
      </c>
    </row>
    <row r="19" spans="1:10" x14ac:dyDescent="0.25">
      <c r="A19" t="s">
        <v>989</v>
      </c>
      <c r="B19" t="str">
        <f t="shared" si="0"/>
        <v>[[Dominate Beast]]</v>
      </c>
      <c r="C19">
        <v>4</v>
      </c>
      <c r="D19" t="s">
        <v>709</v>
      </c>
      <c r="E19" t="s">
        <v>710</v>
      </c>
      <c r="F19" t="s">
        <v>725</v>
      </c>
      <c r="G19" t="s">
        <v>720</v>
      </c>
      <c r="H19" t="s">
        <v>721</v>
      </c>
      <c r="I19" t="s">
        <v>722</v>
      </c>
    </row>
    <row r="20" spans="1:10" x14ac:dyDescent="0.25">
      <c r="A20" t="s">
        <v>991</v>
      </c>
      <c r="B20" t="str">
        <f t="shared" si="0"/>
        <v>[[Elemental Weapon]]</v>
      </c>
      <c r="C20">
        <v>3</v>
      </c>
      <c r="D20" t="s">
        <v>718</v>
      </c>
      <c r="E20" t="s">
        <v>710</v>
      </c>
      <c r="F20" t="s">
        <v>729</v>
      </c>
      <c r="G20" t="s">
        <v>724</v>
      </c>
      <c r="H20" t="s">
        <v>721</v>
      </c>
      <c r="I20" t="s">
        <v>722</v>
      </c>
    </row>
    <row r="21" spans="1:10" x14ac:dyDescent="0.25">
      <c r="A21" t="s">
        <v>771</v>
      </c>
      <c r="B21" t="str">
        <f t="shared" si="0"/>
        <v>[[Enhance Ability]]</v>
      </c>
      <c r="C21">
        <v>2</v>
      </c>
      <c r="D21" t="s">
        <v>718</v>
      </c>
      <c r="E21" t="s">
        <v>710</v>
      </c>
      <c r="F21" t="s">
        <v>729</v>
      </c>
      <c r="G21" t="s">
        <v>724</v>
      </c>
      <c r="H21" t="s">
        <v>713</v>
      </c>
      <c r="I21" t="s">
        <v>722</v>
      </c>
    </row>
    <row r="22" spans="1:10" x14ac:dyDescent="0.25">
      <c r="A22" t="s">
        <v>1053</v>
      </c>
      <c r="B22" t="str">
        <f t="shared" si="0"/>
        <v>[[Ensnaring Strike]]</v>
      </c>
      <c r="C22">
        <v>1</v>
      </c>
      <c r="D22" t="s">
        <v>749</v>
      </c>
      <c r="E22" t="s">
        <v>804</v>
      </c>
      <c r="F22" t="s">
        <v>738</v>
      </c>
      <c r="G22" t="s">
        <v>720</v>
      </c>
      <c r="H22" t="s">
        <v>740</v>
      </c>
      <c r="I22" t="s">
        <v>722</v>
      </c>
    </row>
    <row r="23" spans="1:10" x14ac:dyDescent="0.25">
      <c r="A23" t="s">
        <v>993</v>
      </c>
      <c r="B23" t="str">
        <f t="shared" si="0"/>
        <v>[[Entangle]]</v>
      </c>
      <c r="C23">
        <v>1</v>
      </c>
      <c r="D23" t="s">
        <v>749</v>
      </c>
      <c r="E23" t="s">
        <v>710</v>
      </c>
      <c r="F23" t="s">
        <v>756</v>
      </c>
      <c r="G23" t="s">
        <v>720</v>
      </c>
      <c r="H23" t="s">
        <v>721</v>
      </c>
      <c r="I23" t="s">
        <v>722</v>
      </c>
    </row>
    <row r="24" spans="1:10" x14ac:dyDescent="0.25">
      <c r="A24" t="s">
        <v>927</v>
      </c>
      <c r="B24" t="str">
        <f t="shared" si="0"/>
        <v>[[Find Traps]]</v>
      </c>
      <c r="C24">
        <v>2</v>
      </c>
      <c r="D24" t="s">
        <v>745</v>
      </c>
      <c r="E24" t="s">
        <v>710</v>
      </c>
      <c r="F24" t="s">
        <v>719</v>
      </c>
      <c r="G24" t="s">
        <v>730</v>
      </c>
      <c r="H24" t="s">
        <v>721</v>
      </c>
    </row>
    <row r="25" spans="1:10" x14ac:dyDescent="0.25">
      <c r="A25" t="s">
        <v>998</v>
      </c>
      <c r="B25" t="str">
        <f t="shared" si="0"/>
        <v>[[Fog Cloud]]</v>
      </c>
      <c r="C25">
        <v>1</v>
      </c>
      <c r="D25" t="s">
        <v>749</v>
      </c>
      <c r="E25" t="s">
        <v>710</v>
      </c>
      <c r="F25" t="s">
        <v>719</v>
      </c>
      <c r="G25" t="s">
        <v>724</v>
      </c>
      <c r="H25" t="s">
        <v>721</v>
      </c>
      <c r="I25" t="s">
        <v>722</v>
      </c>
    </row>
    <row r="26" spans="1:10" x14ac:dyDescent="0.25">
      <c r="A26" t="s">
        <v>789</v>
      </c>
      <c r="B26" t="str">
        <f t="shared" si="0"/>
        <v>[[Freedom of Movement]]</v>
      </c>
      <c r="C26">
        <v>4</v>
      </c>
      <c r="D26" t="s">
        <v>737</v>
      </c>
      <c r="E26" t="s">
        <v>710</v>
      </c>
      <c r="F26" t="s">
        <v>729</v>
      </c>
      <c r="G26" t="s">
        <v>724</v>
      </c>
      <c r="H26" t="s">
        <v>713</v>
      </c>
    </row>
    <row r="27" spans="1:10" x14ac:dyDescent="0.25">
      <c r="A27" t="s">
        <v>1000</v>
      </c>
      <c r="B27" t="str">
        <f t="shared" si="0"/>
        <v>[[Goodberry]]</v>
      </c>
      <c r="C27">
        <v>1</v>
      </c>
      <c r="D27" t="s">
        <v>749</v>
      </c>
      <c r="E27" t="s">
        <v>710</v>
      </c>
      <c r="F27" t="s">
        <v>738</v>
      </c>
      <c r="G27" t="s">
        <v>712</v>
      </c>
      <c r="H27" t="s">
        <v>713</v>
      </c>
    </row>
    <row r="28" spans="1:10" x14ac:dyDescent="0.25">
      <c r="A28" t="s">
        <v>1001</v>
      </c>
      <c r="B28" t="str">
        <f t="shared" si="0"/>
        <v>[[Grasping Vine]]</v>
      </c>
      <c r="C28">
        <v>4</v>
      </c>
      <c r="D28" t="s">
        <v>749</v>
      </c>
      <c r="E28" t="s">
        <v>804</v>
      </c>
      <c r="F28" t="s">
        <v>725</v>
      </c>
      <c r="G28" t="s">
        <v>720</v>
      </c>
      <c r="H28" t="s">
        <v>721</v>
      </c>
      <c r="I28" t="s">
        <v>722</v>
      </c>
    </row>
    <row r="29" spans="1:10" x14ac:dyDescent="0.25">
      <c r="A29" t="s">
        <v>799</v>
      </c>
      <c r="B29" t="str">
        <f t="shared" si="0"/>
        <v>[[Greater Restoration]]</v>
      </c>
      <c r="C29">
        <v>5</v>
      </c>
      <c r="D29" t="s">
        <v>737</v>
      </c>
      <c r="E29" t="s">
        <v>710</v>
      </c>
      <c r="F29" t="s">
        <v>729</v>
      </c>
      <c r="G29" t="s">
        <v>730</v>
      </c>
      <c r="H29" t="s">
        <v>713</v>
      </c>
    </row>
    <row r="30" spans="1:10" x14ac:dyDescent="0.25">
      <c r="A30" t="s">
        <v>1002</v>
      </c>
      <c r="B30" t="str">
        <f t="shared" si="0"/>
        <v>[[Gust of Wind]]</v>
      </c>
      <c r="C30">
        <v>2</v>
      </c>
      <c r="D30" t="s">
        <v>777</v>
      </c>
      <c r="E30" t="s">
        <v>710</v>
      </c>
      <c r="F30" t="s">
        <v>738</v>
      </c>
      <c r="G30" t="s">
        <v>720</v>
      </c>
      <c r="H30" t="s">
        <v>713</v>
      </c>
      <c r="I30" t="s">
        <v>722</v>
      </c>
    </row>
    <row r="31" spans="1:10" x14ac:dyDescent="0.25">
      <c r="A31" t="s">
        <v>1054</v>
      </c>
      <c r="B31" t="str">
        <f t="shared" si="0"/>
        <v>[[Hail of Thorns]]</v>
      </c>
      <c r="C31">
        <v>1</v>
      </c>
      <c r="D31" t="s">
        <v>749</v>
      </c>
      <c r="E31" t="s">
        <v>804</v>
      </c>
      <c r="F31" t="s">
        <v>738</v>
      </c>
      <c r="G31" t="s">
        <v>730</v>
      </c>
      <c r="H31" t="s">
        <v>740</v>
      </c>
    </row>
    <row r="32" spans="1:10" x14ac:dyDescent="0.25">
      <c r="A32" t="s">
        <v>1055</v>
      </c>
      <c r="B32" t="str">
        <f t="shared" si="0"/>
        <v>[[Hunter's Mark]]</v>
      </c>
      <c r="C32">
        <v>1</v>
      </c>
      <c r="D32" t="s">
        <v>745</v>
      </c>
      <c r="E32" t="s">
        <v>804</v>
      </c>
      <c r="F32" t="s">
        <v>756</v>
      </c>
      <c r="G32" t="s">
        <v>724</v>
      </c>
      <c r="H32" t="s">
        <v>740</v>
      </c>
      <c r="I32" t="s">
        <v>722</v>
      </c>
    </row>
    <row r="33" spans="1:10" x14ac:dyDescent="0.25">
      <c r="A33" t="s">
        <v>1006</v>
      </c>
      <c r="B33" t="str">
        <f t="shared" ref="B33:B61" si="1">"[["&amp;A33&amp;"]]"</f>
        <v>[[Jump]]</v>
      </c>
      <c r="C33">
        <v>1</v>
      </c>
      <c r="D33" t="s">
        <v>718</v>
      </c>
      <c r="E33" t="s">
        <v>804</v>
      </c>
      <c r="F33" t="s">
        <v>729</v>
      </c>
      <c r="G33" t="s">
        <v>720</v>
      </c>
      <c r="H33" t="s">
        <v>713</v>
      </c>
    </row>
    <row r="34" spans="1:10" x14ac:dyDescent="0.25">
      <c r="A34" t="s">
        <v>818</v>
      </c>
      <c r="B34" t="str">
        <f t="shared" si="1"/>
        <v>[[Lesser Restoration]]</v>
      </c>
      <c r="C34">
        <v>2</v>
      </c>
      <c r="D34" t="s">
        <v>737</v>
      </c>
      <c r="E34" t="s">
        <v>804</v>
      </c>
      <c r="F34" t="s">
        <v>729</v>
      </c>
      <c r="G34" t="s">
        <v>730</v>
      </c>
      <c r="H34" t="s">
        <v>721</v>
      </c>
    </row>
    <row r="35" spans="1:10" x14ac:dyDescent="0.25">
      <c r="A35" t="s">
        <v>1056</v>
      </c>
      <c r="B35" t="str">
        <f t="shared" si="1"/>
        <v>[[Lightning Arrow]]</v>
      </c>
      <c r="C35">
        <v>3</v>
      </c>
      <c r="D35" t="s">
        <v>718</v>
      </c>
      <c r="E35" t="s">
        <v>804</v>
      </c>
      <c r="F35" t="s">
        <v>738</v>
      </c>
      <c r="G35" t="s">
        <v>730</v>
      </c>
      <c r="H35" t="s">
        <v>721</v>
      </c>
    </row>
    <row r="36" spans="1:10" x14ac:dyDescent="0.25">
      <c r="A36" t="s">
        <v>820</v>
      </c>
      <c r="B36" t="str">
        <f t="shared" si="1"/>
        <v>[[Locate Animals or Plants]]</v>
      </c>
      <c r="C36">
        <v>2</v>
      </c>
      <c r="D36" t="s">
        <v>745</v>
      </c>
      <c r="E36" t="s">
        <v>715</v>
      </c>
      <c r="F36" t="s">
        <v>738</v>
      </c>
      <c r="G36" t="s">
        <v>730</v>
      </c>
      <c r="H36" t="s">
        <v>713</v>
      </c>
      <c r="J36" t="s">
        <v>716</v>
      </c>
    </row>
    <row r="37" spans="1:10" x14ac:dyDescent="0.25">
      <c r="A37" t="s">
        <v>821</v>
      </c>
      <c r="B37" t="str">
        <f t="shared" si="1"/>
        <v>[[Locate Creature]]</v>
      </c>
      <c r="C37">
        <v>4</v>
      </c>
      <c r="D37" t="s">
        <v>745</v>
      </c>
      <c r="E37" t="s">
        <v>710</v>
      </c>
      <c r="F37" t="s">
        <v>738</v>
      </c>
      <c r="G37" t="s">
        <v>724</v>
      </c>
      <c r="H37" t="s">
        <v>713</v>
      </c>
      <c r="I37" t="s">
        <v>722</v>
      </c>
    </row>
    <row r="38" spans="1:10" x14ac:dyDescent="0.25">
      <c r="A38" t="s">
        <v>822</v>
      </c>
      <c r="B38" t="str">
        <f t="shared" si="1"/>
        <v>[[Locate Object]]</v>
      </c>
      <c r="C38">
        <v>2</v>
      </c>
      <c r="D38" t="s">
        <v>745</v>
      </c>
      <c r="E38" t="s">
        <v>710</v>
      </c>
      <c r="F38" t="s">
        <v>738</v>
      </c>
      <c r="G38" t="s">
        <v>746</v>
      </c>
      <c r="H38" t="s">
        <v>713</v>
      </c>
      <c r="I38" t="s">
        <v>722</v>
      </c>
    </row>
    <row r="39" spans="1:10" x14ac:dyDescent="0.25">
      <c r="A39" t="s">
        <v>823</v>
      </c>
      <c r="B39" t="str">
        <f t="shared" si="1"/>
        <v>[[Longstrider]]</v>
      </c>
      <c r="C39">
        <v>1</v>
      </c>
      <c r="D39" t="s">
        <v>718</v>
      </c>
      <c r="E39" t="s">
        <v>710</v>
      </c>
      <c r="F39" t="s">
        <v>729</v>
      </c>
      <c r="G39" t="s">
        <v>724</v>
      </c>
      <c r="H39" t="s">
        <v>713</v>
      </c>
    </row>
    <row r="40" spans="1:10" x14ac:dyDescent="0.25">
      <c r="A40" t="s">
        <v>1043</v>
      </c>
      <c r="B40" t="str">
        <f t="shared" si="1"/>
        <v>[[Magic Weapon]]</v>
      </c>
      <c r="C40">
        <v>2</v>
      </c>
      <c r="D40" t="s">
        <v>718</v>
      </c>
      <c r="E40" t="s">
        <v>804</v>
      </c>
      <c r="F40" t="s">
        <v>729</v>
      </c>
      <c r="G40" t="s">
        <v>724</v>
      </c>
      <c r="H40" t="s">
        <v>721</v>
      </c>
    </row>
    <row r="41" spans="1:10" x14ac:dyDescent="0.25">
      <c r="A41" t="s">
        <v>945</v>
      </c>
      <c r="B41" t="str">
        <f t="shared" si="1"/>
        <v>[[Meld into Stone]]</v>
      </c>
      <c r="C41">
        <v>3</v>
      </c>
      <c r="D41" t="s">
        <v>718</v>
      </c>
      <c r="E41" t="s">
        <v>715</v>
      </c>
      <c r="F41" t="s">
        <v>729</v>
      </c>
      <c r="G41" t="s">
        <v>728</v>
      </c>
      <c r="H41" t="s">
        <v>721</v>
      </c>
      <c r="J41" t="s">
        <v>716</v>
      </c>
    </row>
    <row r="42" spans="1:10" x14ac:dyDescent="0.25">
      <c r="A42" t="s">
        <v>844</v>
      </c>
      <c r="B42" t="str">
        <f t="shared" si="1"/>
        <v>[[Nondetection]]</v>
      </c>
      <c r="C42">
        <v>3</v>
      </c>
      <c r="D42" t="s">
        <v>737</v>
      </c>
      <c r="E42" t="s">
        <v>710</v>
      </c>
      <c r="F42" t="s">
        <v>729</v>
      </c>
      <c r="G42" t="s">
        <v>728</v>
      </c>
      <c r="H42" t="s">
        <v>713</v>
      </c>
    </row>
    <row r="43" spans="1:10" x14ac:dyDescent="0.25">
      <c r="A43" t="s">
        <v>1010</v>
      </c>
      <c r="B43" t="str">
        <f t="shared" si="1"/>
        <v>[[Pass without Trace]]</v>
      </c>
      <c r="C43">
        <v>2</v>
      </c>
      <c r="D43" t="s">
        <v>737</v>
      </c>
      <c r="E43" t="s">
        <v>710</v>
      </c>
      <c r="F43" t="s">
        <v>738</v>
      </c>
      <c r="G43" t="s">
        <v>724</v>
      </c>
      <c r="H43" t="s">
        <v>713</v>
      </c>
      <c r="I43" t="s">
        <v>722</v>
      </c>
    </row>
    <row r="44" spans="1:10" x14ac:dyDescent="0.25">
      <c r="A44" t="s">
        <v>849</v>
      </c>
      <c r="B44" t="str">
        <f t="shared" si="1"/>
        <v>[[Plant Growth]]</v>
      </c>
      <c r="C44">
        <v>3</v>
      </c>
      <c r="D44" t="s">
        <v>718</v>
      </c>
      <c r="E44" t="s">
        <v>850</v>
      </c>
      <c r="F44" t="s">
        <v>733</v>
      </c>
      <c r="G44" t="s">
        <v>730</v>
      </c>
      <c r="H44" t="s">
        <v>721</v>
      </c>
    </row>
    <row r="45" spans="1:10" x14ac:dyDescent="0.25">
      <c r="A45" t="s">
        <v>949</v>
      </c>
      <c r="B45" t="str">
        <f t="shared" si="1"/>
        <v>[[Protection from Energy]]</v>
      </c>
      <c r="C45">
        <v>3</v>
      </c>
      <c r="D45" t="s">
        <v>737</v>
      </c>
      <c r="E45" t="s">
        <v>710</v>
      </c>
      <c r="F45" t="s">
        <v>729</v>
      </c>
      <c r="G45" t="s">
        <v>724</v>
      </c>
      <c r="H45" t="s">
        <v>721</v>
      </c>
      <c r="I45" t="s">
        <v>722</v>
      </c>
    </row>
    <row r="46" spans="1:10" x14ac:dyDescent="0.25">
      <c r="A46" t="s">
        <v>951</v>
      </c>
      <c r="B46" t="str">
        <f t="shared" si="1"/>
        <v>[[Protection from Poison]]</v>
      </c>
      <c r="C46">
        <v>2</v>
      </c>
      <c r="D46" t="s">
        <v>737</v>
      </c>
      <c r="E46" t="s">
        <v>710</v>
      </c>
      <c r="F46" t="s">
        <v>729</v>
      </c>
      <c r="G46" t="s">
        <v>724</v>
      </c>
      <c r="H46" t="s">
        <v>721</v>
      </c>
    </row>
    <row r="47" spans="1:10" x14ac:dyDescent="0.25">
      <c r="A47" t="s">
        <v>955</v>
      </c>
      <c r="B47" t="str">
        <f t="shared" si="1"/>
        <v>[[Revivify]]</v>
      </c>
      <c r="C47">
        <v>3</v>
      </c>
      <c r="D47" t="s">
        <v>735</v>
      </c>
      <c r="E47" t="s">
        <v>710</v>
      </c>
      <c r="F47" t="s">
        <v>729</v>
      </c>
      <c r="G47" t="s">
        <v>730</v>
      </c>
      <c r="H47" t="s">
        <v>713</v>
      </c>
    </row>
    <row r="48" spans="1:10" x14ac:dyDescent="0.25">
      <c r="A48" t="s">
        <v>872</v>
      </c>
      <c r="B48" t="str">
        <f t="shared" si="1"/>
        <v>[[Silence]]</v>
      </c>
      <c r="C48">
        <v>2</v>
      </c>
      <c r="D48" t="s">
        <v>751</v>
      </c>
      <c r="E48" t="s">
        <v>715</v>
      </c>
      <c r="F48" t="s">
        <v>719</v>
      </c>
      <c r="G48" t="s">
        <v>746</v>
      </c>
      <c r="H48" t="s">
        <v>721</v>
      </c>
      <c r="I48" t="s">
        <v>722</v>
      </c>
      <c r="J48" t="s">
        <v>716</v>
      </c>
    </row>
    <row r="49" spans="1:10" x14ac:dyDescent="0.25">
      <c r="A49" t="s">
        <v>876</v>
      </c>
      <c r="B49" t="str">
        <f t="shared" si="1"/>
        <v>[[Speak with Animals]]</v>
      </c>
      <c r="C49">
        <v>1</v>
      </c>
      <c r="D49" t="s">
        <v>745</v>
      </c>
      <c r="E49" t="s">
        <v>715</v>
      </c>
      <c r="F49" t="s">
        <v>738</v>
      </c>
      <c r="G49" t="s">
        <v>746</v>
      </c>
      <c r="H49" t="s">
        <v>721</v>
      </c>
      <c r="J49" t="s">
        <v>716</v>
      </c>
    </row>
    <row r="50" spans="1:10" x14ac:dyDescent="0.25">
      <c r="A50" t="s">
        <v>878</v>
      </c>
      <c r="B50" t="str">
        <f t="shared" si="1"/>
        <v>[[Speak with Plants]]</v>
      </c>
      <c r="C50">
        <v>3</v>
      </c>
      <c r="D50" t="s">
        <v>718</v>
      </c>
      <c r="E50" t="s">
        <v>710</v>
      </c>
      <c r="F50" t="s">
        <v>738</v>
      </c>
      <c r="G50" t="s">
        <v>746</v>
      </c>
      <c r="H50" t="s">
        <v>721</v>
      </c>
    </row>
    <row r="51" spans="1:10" x14ac:dyDescent="0.25">
      <c r="A51" t="s">
        <v>1018</v>
      </c>
      <c r="B51" t="str">
        <f t="shared" si="1"/>
        <v>[[Spike Growth]]</v>
      </c>
      <c r="C51">
        <v>2</v>
      </c>
      <c r="D51" t="s">
        <v>718</v>
      </c>
      <c r="E51" t="s">
        <v>710</v>
      </c>
      <c r="F51" t="s">
        <v>733</v>
      </c>
      <c r="G51" t="s">
        <v>746</v>
      </c>
      <c r="H51" t="s">
        <v>713</v>
      </c>
      <c r="I51" t="s">
        <v>722</v>
      </c>
    </row>
    <row r="52" spans="1:10" x14ac:dyDescent="0.25">
      <c r="A52" t="s">
        <v>1057</v>
      </c>
      <c r="B52" t="str">
        <f t="shared" si="1"/>
        <v>[[Steel Wind Strike]]</v>
      </c>
      <c r="C52">
        <v>5</v>
      </c>
      <c r="D52" t="s">
        <v>749</v>
      </c>
      <c r="E52" t="s">
        <v>710</v>
      </c>
      <c r="F52" t="s">
        <v>711</v>
      </c>
      <c r="G52" t="s">
        <v>730</v>
      </c>
      <c r="H52" t="s">
        <v>792</v>
      </c>
    </row>
    <row r="53" spans="1:10" x14ac:dyDescent="0.25">
      <c r="A53" t="s">
        <v>1019</v>
      </c>
      <c r="B53" t="str">
        <f t="shared" si="1"/>
        <v>[[Stoneskin]]</v>
      </c>
      <c r="C53">
        <v>4</v>
      </c>
      <c r="D53" t="s">
        <v>718</v>
      </c>
      <c r="E53" t="s">
        <v>710</v>
      </c>
      <c r="F53" t="s">
        <v>729</v>
      </c>
      <c r="G53" t="s">
        <v>724</v>
      </c>
      <c r="H53" t="s">
        <v>713</v>
      </c>
      <c r="I53" t="s">
        <v>722</v>
      </c>
    </row>
    <row r="54" spans="1:10" x14ac:dyDescent="0.25">
      <c r="A54" t="s">
        <v>1021</v>
      </c>
      <c r="B54" t="str">
        <f t="shared" si="1"/>
        <v>[[Summon Beast]]</v>
      </c>
      <c r="C54">
        <v>2</v>
      </c>
      <c r="D54" t="s">
        <v>749</v>
      </c>
      <c r="E54" t="s">
        <v>710</v>
      </c>
      <c r="F54" t="s">
        <v>756</v>
      </c>
      <c r="G54" t="s">
        <v>724</v>
      </c>
      <c r="H54" t="s">
        <v>713</v>
      </c>
      <c r="I54" t="s">
        <v>722</v>
      </c>
    </row>
    <row r="55" spans="1:10" x14ac:dyDescent="0.25">
      <c r="A55" t="s">
        <v>1022</v>
      </c>
      <c r="B55" t="str">
        <f t="shared" si="1"/>
        <v>[[Summon Elemental]]</v>
      </c>
      <c r="C55">
        <v>4</v>
      </c>
      <c r="D55" t="s">
        <v>749</v>
      </c>
      <c r="E55" t="s">
        <v>710</v>
      </c>
      <c r="F55" t="s">
        <v>756</v>
      </c>
      <c r="G55" t="s">
        <v>724</v>
      </c>
      <c r="H55" t="s">
        <v>713</v>
      </c>
      <c r="I55" t="s">
        <v>722</v>
      </c>
    </row>
    <row r="56" spans="1:10" x14ac:dyDescent="0.25">
      <c r="A56" t="s">
        <v>1023</v>
      </c>
      <c r="B56" t="str">
        <f t="shared" si="1"/>
        <v>[[Summon Fey]]</v>
      </c>
      <c r="C56">
        <v>3</v>
      </c>
      <c r="D56" t="s">
        <v>749</v>
      </c>
      <c r="E56" t="s">
        <v>710</v>
      </c>
      <c r="F56" t="s">
        <v>756</v>
      </c>
      <c r="G56" t="s">
        <v>724</v>
      </c>
      <c r="H56" t="s">
        <v>713</v>
      </c>
      <c r="I56" t="s">
        <v>722</v>
      </c>
    </row>
    <row r="57" spans="1:10" x14ac:dyDescent="0.25">
      <c r="A57" t="s">
        <v>1058</v>
      </c>
      <c r="B57" t="str">
        <f t="shared" si="1"/>
        <v>[[Swift Quiver]]</v>
      </c>
      <c r="C57">
        <v>5</v>
      </c>
      <c r="D57" t="s">
        <v>718</v>
      </c>
      <c r="E57" t="s">
        <v>804</v>
      </c>
      <c r="F57" t="s">
        <v>738</v>
      </c>
      <c r="G57" t="s">
        <v>720</v>
      </c>
      <c r="H57" t="s">
        <v>713</v>
      </c>
      <c r="I57" t="s">
        <v>722</v>
      </c>
    </row>
    <row r="58" spans="1:10" x14ac:dyDescent="0.25">
      <c r="A58" t="s">
        <v>1026</v>
      </c>
      <c r="B58" t="str">
        <f t="shared" si="1"/>
        <v>[[Tree Stride]]</v>
      </c>
      <c r="C58">
        <v>5</v>
      </c>
      <c r="D58" t="s">
        <v>749</v>
      </c>
      <c r="E58" t="s">
        <v>710</v>
      </c>
      <c r="F58" t="s">
        <v>738</v>
      </c>
      <c r="G58" t="s">
        <v>720</v>
      </c>
      <c r="H58" t="s">
        <v>721</v>
      </c>
      <c r="I58" t="s">
        <v>722</v>
      </c>
    </row>
    <row r="59" spans="1:10" x14ac:dyDescent="0.25">
      <c r="A59" t="s">
        <v>1032</v>
      </c>
      <c r="B59" t="str">
        <f t="shared" si="1"/>
        <v>[[Water Breathing]]</v>
      </c>
      <c r="C59">
        <v>3</v>
      </c>
      <c r="D59" t="s">
        <v>718</v>
      </c>
      <c r="E59" t="s">
        <v>715</v>
      </c>
      <c r="F59" t="s">
        <v>711</v>
      </c>
      <c r="G59" t="s">
        <v>712</v>
      </c>
      <c r="H59" t="s">
        <v>713</v>
      </c>
      <c r="J59" t="s">
        <v>716</v>
      </c>
    </row>
    <row r="60" spans="1:10" x14ac:dyDescent="0.25">
      <c r="A60" t="s">
        <v>971</v>
      </c>
      <c r="B60" t="str">
        <f t="shared" si="1"/>
        <v>[[Water Walk]]</v>
      </c>
      <c r="C60">
        <v>3</v>
      </c>
      <c r="D60" t="s">
        <v>718</v>
      </c>
      <c r="E60" t="s">
        <v>715</v>
      </c>
      <c r="F60" t="s">
        <v>711</v>
      </c>
      <c r="G60" t="s">
        <v>724</v>
      </c>
      <c r="H60" t="s">
        <v>713</v>
      </c>
      <c r="J60" t="s">
        <v>716</v>
      </c>
    </row>
    <row r="61" spans="1:10" x14ac:dyDescent="0.25">
      <c r="A61" t="s">
        <v>1034</v>
      </c>
      <c r="B61" t="str">
        <f t="shared" si="1"/>
        <v>[[Wind Wall]]</v>
      </c>
      <c r="C61">
        <v>3</v>
      </c>
      <c r="D61" t="s">
        <v>777</v>
      </c>
      <c r="E61" t="s">
        <v>710</v>
      </c>
      <c r="F61" t="s">
        <v>719</v>
      </c>
      <c r="G61" t="s">
        <v>720</v>
      </c>
      <c r="H61" t="s">
        <v>713</v>
      </c>
      <c r="I61" t="s">
        <v>722</v>
      </c>
    </row>
  </sheetData>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0E2C7-DB43-46DB-BB28-C0DDFDE1D69A}">
  <sheetPr codeName="Sheet7"/>
  <dimension ref="A1:J150"/>
  <sheetViews>
    <sheetView topLeftCell="A127" workbookViewId="0">
      <selection activeCell="B1" sqref="B1:I150"/>
    </sheetView>
  </sheetViews>
  <sheetFormatPr defaultRowHeight="15" x14ac:dyDescent="0.25"/>
  <sheetData>
    <row r="1" spans="1:9" x14ac:dyDescent="0.25">
      <c r="A1" t="s">
        <v>1059</v>
      </c>
      <c r="B1" t="str">
        <f t="shared" ref="B1:B32" si="0">"[["&amp;A1&amp;"]]"</f>
        <v>[[Acid Splash]]</v>
      </c>
      <c r="C1">
        <v>0</v>
      </c>
      <c r="D1" t="s">
        <v>777</v>
      </c>
      <c r="E1" t="s">
        <v>710</v>
      </c>
      <c r="F1" t="s">
        <v>725</v>
      </c>
      <c r="G1" t="s">
        <v>730</v>
      </c>
      <c r="H1" t="s">
        <v>721</v>
      </c>
    </row>
    <row r="2" spans="1:9" x14ac:dyDescent="0.25">
      <c r="A2" t="s">
        <v>1060</v>
      </c>
      <c r="B2" t="str">
        <f t="shared" si="0"/>
        <v>[[Alter Self]]</v>
      </c>
      <c r="C2">
        <v>2</v>
      </c>
      <c r="D2" t="s">
        <v>718</v>
      </c>
      <c r="E2" t="s">
        <v>710</v>
      </c>
      <c r="F2" t="s">
        <v>738</v>
      </c>
      <c r="G2" t="s">
        <v>724</v>
      </c>
      <c r="H2" t="s">
        <v>721</v>
      </c>
      <c r="I2" t="s">
        <v>722</v>
      </c>
    </row>
    <row r="3" spans="1:9" x14ac:dyDescent="0.25">
      <c r="A3" t="s">
        <v>717</v>
      </c>
      <c r="B3" t="str">
        <f t="shared" si="0"/>
        <v>[[Animate Objects]]</v>
      </c>
      <c r="C3">
        <v>5</v>
      </c>
      <c r="D3" t="s">
        <v>718</v>
      </c>
      <c r="E3" t="s">
        <v>710</v>
      </c>
      <c r="F3" t="s">
        <v>719</v>
      </c>
      <c r="G3" t="s">
        <v>720</v>
      </c>
      <c r="H3" t="s">
        <v>721</v>
      </c>
      <c r="I3" t="s">
        <v>722</v>
      </c>
    </row>
    <row r="4" spans="1:9" x14ac:dyDescent="0.25">
      <c r="A4" t="s">
        <v>1061</v>
      </c>
      <c r="B4" t="str">
        <f t="shared" si="0"/>
        <v>[[Arcane Gate]]</v>
      </c>
      <c r="C4">
        <v>6</v>
      </c>
      <c r="D4" t="s">
        <v>749</v>
      </c>
      <c r="E4" t="s">
        <v>710</v>
      </c>
      <c r="F4" t="s">
        <v>763</v>
      </c>
      <c r="G4" t="s">
        <v>746</v>
      </c>
      <c r="H4" t="s">
        <v>721</v>
      </c>
      <c r="I4" t="s">
        <v>722</v>
      </c>
    </row>
    <row r="5" spans="1:9" x14ac:dyDescent="0.25">
      <c r="A5" t="s">
        <v>1062</v>
      </c>
      <c r="B5" t="str">
        <f t="shared" si="0"/>
        <v>[[Arcane Vigor]]</v>
      </c>
      <c r="C5">
        <v>2</v>
      </c>
      <c r="D5" t="s">
        <v>737</v>
      </c>
      <c r="E5" t="s">
        <v>804</v>
      </c>
      <c r="F5" t="s">
        <v>738</v>
      </c>
      <c r="G5" t="s">
        <v>730</v>
      </c>
      <c r="H5" t="s">
        <v>721</v>
      </c>
    </row>
    <row r="6" spans="1:9" x14ac:dyDescent="0.25">
      <c r="A6" t="s">
        <v>904</v>
      </c>
      <c r="B6" t="str">
        <f t="shared" si="0"/>
        <v>[[Banishment]]</v>
      </c>
      <c r="C6">
        <v>4</v>
      </c>
      <c r="D6" t="s">
        <v>737</v>
      </c>
      <c r="E6" t="s">
        <v>710</v>
      </c>
      <c r="F6" t="s">
        <v>711</v>
      </c>
      <c r="G6" t="s">
        <v>720</v>
      </c>
      <c r="H6" t="s">
        <v>713</v>
      </c>
      <c r="I6" t="s">
        <v>722</v>
      </c>
    </row>
    <row r="7" spans="1:9" x14ac:dyDescent="0.25">
      <c r="A7" t="s">
        <v>1063</v>
      </c>
      <c r="B7" t="str">
        <f t="shared" si="0"/>
        <v>[[Bigby's Hand]]</v>
      </c>
      <c r="C7">
        <v>5</v>
      </c>
      <c r="D7" t="s">
        <v>777</v>
      </c>
      <c r="E7" t="s">
        <v>710</v>
      </c>
      <c r="F7" t="s">
        <v>719</v>
      </c>
      <c r="G7" t="s">
        <v>720</v>
      </c>
      <c r="H7" t="s">
        <v>713</v>
      </c>
      <c r="I7" t="s">
        <v>722</v>
      </c>
    </row>
    <row r="8" spans="1:9" x14ac:dyDescent="0.25">
      <c r="A8" t="s">
        <v>736</v>
      </c>
      <c r="B8" t="str">
        <f t="shared" si="0"/>
        <v>[[Blade Ward]]</v>
      </c>
      <c r="C8">
        <v>0</v>
      </c>
      <c r="D8" t="s">
        <v>737</v>
      </c>
      <c r="E8" t="s">
        <v>710</v>
      </c>
      <c r="F8" t="s">
        <v>738</v>
      </c>
      <c r="G8" t="s">
        <v>720</v>
      </c>
      <c r="H8" t="s">
        <v>721</v>
      </c>
      <c r="I8" t="s">
        <v>722</v>
      </c>
    </row>
    <row r="9" spans="1:9" x14ac:dyDescent="0.25">
      <c r="A9" t="s">
        <v>979</v>
      </c>
      <c r="B9" t="str">
        <f t="shared" si="0"/>
        <v>[[Blight]]</v>
      </c>
      <c r="C9">
        <v>4</v>
      </c>
      <c r="D9" t="s">
        <v>735</v>
      </c>
      <c r="E9" t="s">
        <v>710</v>
      </c>
      <c r="F9" t="s">
        <v>711</v>
      </c>
      <c r="G9" t="s">
        <v>730</v>
      </c>
      <c r="H9" t="s">
        <v>721</v>
      </c>
    </row>
    <row r="10" spans="1:9" x14ac:dyDescent="0.25">
      <c r="A10" t="s">
        <v>739</v>
      </c>
      <c r="B10" t="str">
        <f t="shared" si="0"/>
        <v>[[Blindness/Deafness]]</v>
      </c>
      <c r="C10">
        <v>2</v>
      </c>
      <c r="D10" t="s">
        <v>718</v>
      </c>
      <c r="E10" t="s">
        <v>710</v>
      </c>
      <c r="F10" t="s">
        <v>719</v>
      </c>
      <c r="G10" t="s">
        <v>720</v>
      </c>
      <c r="H10" t="s">
        <v>740</v>
      </c>
    </row>
    <row r="11" spans="1:9" x14ac:dyDescent="0.25">
      <c r="A11" t="s">
        <v>1064</v>
      </c>
      <c r="B11" t="str">
        <f t="shared" si="0"/>
        <v>[[Blink]]</v>
      </c>
      <c r="C11">
        <v>3</v>
      </c>
      <c r="D11" t="s">
        <v>718</v>
      </c>
      <c r="E11" t="s">
        <v>710</v>
      </c>
      <c r="F11" t="s">
        <v>738</v>
      </c>
      <c r="G11" t="s">
        <v>720</v>
      </c>
      <c r="H11" t="s">
        <v>721</v>
      </c>
    </row>
    <row r="12" spans="1:9" x14ac:dyDescent="0.25">
      <c r="A12" t="s">
        <v>1065</v>
      </c>
      <c r="B12" t="str">
        <f t="shared" si="0"/>
        <v>[[Blur]]</v>
      </c>
      <c r="C12">
        <v>2</v>
      </c>
      <c r="D12" t="s">
        <v>751</v>
      </c>
      <c r="E12" t="s">
        <v>710</v>
      </c>
      <c r="F12" t="s">
        <v>738</v>
      </c>
      <c r="G12" t="s">
        <v>720</v>
      </c>
      <c r="H12" t="s">
        <v>740</v>
      </c>
      <c r="I12" t="s">
        <v>722</v>
      </c>
    </row>
    <row r="13" spans="1:9" x14ac:dyDescent="0.25">
      <c r="A13" t="s">
        <v>1066</v>
      </c>
      <c r="B13" t="str">
        <f t="shared" si="0"/>
        <v>[[Burning Hands]]</v>
      </c>
      <c r="C13">
        <v>1</v>
      </c>
      <c r="D13" t="s">
        <v>777</v>
      </c>
      <c r="E13" t="s">
        <v>710</v>
      </c>
      <c r="F13" t="s">
        <v>738</v>
      </c>
      <c r="G13" t="s">
        <v>730</v>
      </c>
      <c r="H13" t="s">
        <v>721</v>
      </c>
    </row>
    <row r="14" spans="1:9" x14ac:dyDescent="0.25">
      <c r="A14" t="s">
        <v>1067</v>
      </c>
      <c r="B14" t="str">
        <f t="shared" si="0"/>
        <v>[[Chain Lightning]]</v>
      </c>
      <c r="C14">
        <v>6</v>
      </c>
      <c r="D14" t="s">
        <v>777</v>
      </c>
      <c r="E14" t="s">
        <v>710</v>
      </c>
      <c r="F14" t="s">
        <v>733</v>
      </c>
      <c r="G14" t="s">
        <v>730</v>
      </c>
      <c r="H14" t="s">
        <v>713</v>
      </c>
    </row>
    <row r="15" spans="1:9" x14ac:dyDescent="0.25">
      <c r="A15" t="s">
        <v>742</v>
      </c>
      <c r="B15" t="str">
        <f t="shared" si="0"/>
        <v>[[Charm Monster]]</v>
      </c>
      <c r="C15">
        <v>4</v>
      </c>
      <c r="D15" t="s">
        <v>709</v>
      </c>
      <c r="E15" t="s">
        <v>710</v>
      </c>
      <c r="F15" t="s">
        <v>711</v>
      </c>
      <c r="G15" t="s">
        <v>724</v>
      </c>
      <c r="H15" t="s">
        <v>721</v>
      </c>
    </row>
    <row r="16" spans="1:9" x14ac:dyDescent="0.25">
      <c r="A16" t="s">
        <v>743</v>
      </c>
      <c r="B16" t="str">
        <f t="shared" si="0"/>
        <v>[[Charm Person]]</v>
      </c>
      <c r="C16">
        <v>1</v>
      </c>
      <c r="D16" t="s">
        <v>709</v>
      </c>
      <c r="E16" t="s">
        <v>710</v>
      </c>
      <c r="F16" t="s">
        <v>711</v>
      </c>
      <c r="G16" t="s">
        <v>724</v>
      </c>
      <c r="H16" t="s">
        <v>721</v>
      </c>
    </row>
    <row r="17" spans="1:10" x14ac:dyDescent="0.25">
      <c r="A17" t="s">
        <v>1068</v>
      </c>
      <c r="B17" t="str">
        <f t="shared" si="0"/>
        <v>[[Chill Touch]]</v>
      </c>
      <c r="C17">
        <v>0</v>
      </c>
      <c r="D17" t="s">
        <v>735</v>
      </c>
      <c r="E17" t="s">
        <v>710</v>
      </c>
      <c r="F17" t="s">
        <v>729</v>
      </c>
      <c r="G17" t="s">
        <v>730</v>
      </c>
      <c r="H17" t="s">
        <v>721</v>
      </c>
    </row>
    <row r="18" spans="1:10" x14ac:dyDescent="0.25">
      <c r="A18" t="s">
        <v>1069</v>
      </c>
      <c r="B18" t="str">
        <f t="shared" si="0"/>
        <v>[[Chromatic Orb]]</v>
      </c>
      <c r="C18">
        <v>1</v>
      </c>
      <c r="D18" t="s">
        <v>777</v>
      </c>
      <c r="E18" t="s">
        <v>710</v>
      </c>
      <c r="F18" t="s">
        <v>756</v>
      </c>
      <c r="G18" t="s">
        <v>730</v>
      </c>
      <c r="H18" t="s">
        <v>713</v>
      </c>
    </row>
    <row r="19" spans="1:10" x14ac:dyDescent="0.25">
      <c r="A19" t="s">
        <v>1070</v>
      </c>
      <c r="B19" t="str">
        <f t="shared" si="0"/>
        <v>[[Circle of Death]]</v>
      </c>
      <c r="C19">
        <v>6</v>
      </c>
      <c r="D19" t="s">
        <v>735</v>
      </c>
      <c r="E19" t="s">
        <v>710</v>
      </c>
      <c r="F19" t="s">
        <v>733</v>
      </c>
      <c r="G19" t="s">
        <v>730</v>
      </c>
      <c r="H19" t="s">
        <v>713</v>
      </c>
    </row>
    <row r="20" spans="1:10" x14ac:dyDescent="0.25">
      <c r="A20" t="s">
        <v>744</v>
      </c>
      <c r="B20" t="str">
        <f t="shared" si="0"/>
        <v>[[Clairvoyance]]</v>
      </c>
      <c r="C20">
        <v>3</v>
      </c>
      <c r="D20" t="s">
        <v>745</v>
      </c>
      <c r="E20" t="s">
        <v>746</v>
      </c>
      <c r="F20" t="s">
        <v>747</v>
      </c>
      <c r="G20" t="s">
        <v>746</v>
      </c>
      <c r="H20" t="s">
        <v>713</v>
      </c>
      <c r="I20" t="s">
        <v>722</v>
      </c>
    </row>
    <row r="21" spans="1:10" x14ac:dyDescent="0.25">
      <c r="A21" t="s">
        <v>748</v>
      </c>
      <c r="B21" t="str">
        <f t="shared" si="0"/>
        <v>[[Cloud of Daggers]]</v>
      </c>
      <c r="C21">
        <v>2</v>
      </c>
      <c r="D21" t="s">
        <v>749</v>
      </c>
      <c r="E21" t="s">
        <v>710</v>
      </c>
      <c r="F21" t="s">
        <v>725</v>
      </c>
      <c r="G21" t="s">
        <v>720</v>
      </c>
      <c r="H21" t="s">
        <v>713</v>
      </c>
      <c r="I21" t="s">
        <v>722</v>
      </c>
    </row>
    <row r="22" spans="1:10" x14ac:dyDescent="0.25">
      <c r="A22" t="s">
        <v>1071</v>
      </c>
      <c r="B22" t="str">
        <f t="shared" si="0"/>
        <v>[[Cloudkill]]</v>
      </c>
      <c r="C22">
        <v>5</v>
      </c>
      <c r="D22" t="s">
        <v>749</v>
      </c>
      <c r="E22" t="s">
        <v>710</v>
      </c>
      <c r="F22" t="s">
        <v>719</v>
      </c>
      <c r="G22" t="s">
        <v>746</v>
      </c>
      <c r="H22" t="s">
        <v>721</v>
      </c>
      <c r="I22" t="s">
        <v>722</v>
      </c>
    </row>
    <row r="23" spans="1:10" x14ac:dyDescent="0.25">
      <c r="A23" t="s">
        <v>750</v>
      </c>
      <c r="B23" t="str">
        <f t="shared" si="0"/>
        <v>[[Color Spray]]</v>
      </c>
      <c r="C23">
        <v>1</v>
      </c>
      <c r="D23" t="s">
        <v>751</v>
      </c>
      <c r="E23" t="s">
        <v>710</v>
      </c>
      <c r="F23" t="s">
        <v>738</v>
      </c>
      <c r="G23" t="s">
        <v>730</v>
      </c>
      <c r="H23" t="s">
        <v>713</v>
      </c>
    </row>
    <row r="24" spans="1:10" x14ac:dyDescent="0.25">
      <c r="A24" t="s">
        <v>753</v>
      </c>
      <c r="B24" t="str">
        <f t="shared" si="0"/>
        <v>[[Comprehend Languages]]</v>
      </c>
      <c r="C24">
        <v>1</v>
      </c>
      <c r="D24" t="s">
        <v>745</v>
      </c>
      <c r="E24" t="s">
        <v>715</v>
      </c>
      <c r="F24" t="s">
        <v>738</v>
      </c>
      <c r="G24" t="s">
        <v>724</v>
      </c>
      <c r="H24" t="s">
        <v>713</v>
      </c>
      <c r="J24" t="s">
        <v>716</v>
      </c>
    </row>
    <row r="25" spans="1:10" x14ac:dyDescent="0.25">
      <c r="A25" t="s">
        <v>982</v>
      </c>
      <c r="B25" t="str">
        <f t="shared" si="0"/>
        <v>[[Cone of Cold]]</v>
      </c>
      <c r="C25">
        <v>5</v>
      </c>
      <c r="D25" t="s">
        <v>777</v>
      </c>
      <c r="E25" t="s">
        <v>710</v>
      </c>
      <c r="F25" t="s">
        <v>738</v>
      </c>
      <c r="G25" t="s">
        <v>730</v>
      </c>
      <c r="H25" t="s">
        <v>713</v>
      </c>
    </row>
    <row r="26" spans="1:10" x14ac:dyDescent="0.25">
      <c r="A26" t="s">
        <v>755</v>
      </c>
      <c r="B26" t="str">
        <f t="shared" si="0"/>
        <v>[[Confusion]]</v>
      </c>
      <c r="C26">
        <v>4</v>
      </c>
      <c r="D26" t="s">
        <v>709</v>
      </c>
      <c r="E26" t="s">
        <v>710</v>
      </c>
      <c r="F26" t="s">
        <v>756</v>
      </c>
      <c r="G26" t="s">
        <v>720</v>
      </c>
      <c r="H26" t="s">
        <v>713</v>
      </c>
      <c r="I26" t="s">
        <v>722</v>
      </c>
    </row>
    <row r="27" spans="1:10" x14ac:dyDescent="0.25">
      <c r="A27" t="s">
        <v>1072</v>
      </c>
      <c r="B27" t="str">
        <f t="shared" si="0"/>
        <v>[[Counterspell]]</v>
      </c>
      <c r="C27">
        <v>3</v>
      </c>
      <c r="D27" t="s">
        <v>737</v>
      </c>
      <c r="E27" t="s">
        <v>780</v>
      </c>
      <c r="F27" t="s">
        <v>725</v>
      </c>
      <c r="G27" t="s">
        <v>730</v>
      </c>
      <c r="H27" t="s">
        <v>840</v>
      </c>
    </row>
    <row r="28" spans="1:10" x14ac:dyDescent="0.25">
      <c r="A28" t="s">
        <v>1073</v>
      </c>
      <c r="B28" t="str">
        <f t="shared" si="0"/>
        <v>[[Creation]]</v>
      </c>
      <c r="C28">
        <v>5</v>
      </c>
      <c r="D28" t="s">
        <v>751</v>
      </c>
      <c r="E28" t="s">
        <v>720</v>
      </c>
      <c r="F28" t="s">
        <v>711</v>
      </c>
      <c r="G28" t="s">
        <v>770</v>
      </c>
      <c r="H28" t="s">
        <v>713</v>
      </c>
    </row>
    <row r="29" spans="1:10" x14ac:dyDescent="0.25">
      <c r="A29" t="s">
        <v>757</v>
      </c>
      <c r="B29" t="str">
        <f t="shared" si="0"/>
        <v>[[Crown of Madness]]</v>
      </c>
      <c r="C29">
        <v>2</v>
      </c>
      <c r="D29" t="s">
        <v>709</v>
      </c>
      <c r="E29" t="s">
        <v>710</v>
      </c>
      <c r="F29" t="s">
        <v>719</v>
      </c>
      <c r="G29" t="s">
        <v>720</v>
      </c>
      <c r="H29" t="s">
        <v>721</v>
      </c>
      <c r="I29" t="s">
        <v>722</v>
      </c>
    </row>
    <row r="30" spans="1:10" x14ac:dyDescent="0.25">
      <c r="A30" t="s">
        <v>759</v>
      </c>
      <c r="B30" t="str">
        <f t="shared" si="0"/>
        <v>[[Dancing Lights]]</v>
      </c>
      <c r="C30">
        <v>0</v>
      </c>
      <c r="D30" t="s">
        <v>751</v>
      </c>
      <c r="E30" t="s">
        <v>710</v>
      </c>
      <c r="F30" t="s">
        <v>719</v>
      </c>
      <c r="G30" t="s">
        <v>720</v>
      </c>
      <c r="H30" t="s">
        <v>713</v>
      </c>
      <c r="I30" t="s">
        <v>722</v>
      </c>
    </row>
    <row r="31" spans="1:10" x14ac:dyDescent="0.25">
      <c r="A31" t="s">
        <v>1074</v>
      </c>
      <c r="B31" t="str">
        <f t="shared" si="0"/>
        <v>[[Darkness]]</v>
      </c>
      <c r="C31">
        <v>2</v>
      </c>
      <c r="D31" t="s">
        <v>777</v>
      </c>
      <c r="E31" t="s">
        <v>710</v>
      </c>
      <c r="F31" t="s">
        <v>725</v>
      </c>
      <c r="G31" t="s">
        <v>746</v>
      </c>
      <c r="H31" t="s">
        <v>781</v>
      </c>
      <c r="I31" t="s">
        <v>722</v>
      </c>
    </row>
    <row r="32" spans="1:10" x14ac:dyDescent="0.25">
      <c r="A32" t="s">
        <v>988</v>
      </c>
      <c r="B32" t="str">
        <f t="shared" si="0"/>
        <v>[[Darkvision]]</v>
      </c>
      <c r="C32">
        <v>2</v>
      </c>
      <c r="D32" t="s">
        <v>718</v>
      </c>
      <c r="E32" t="s">
        <v>710</v>
      </c>
      <c r="F32" t="s">
        <v>729</v>
      </c>
      <c r="G32" t="s">
        <v>728</v>
      </c>
      <c r="H32" t="s">
        <v>713</v>
      </c>
    </row>
    <row r="33" spans="1:10" x14ac:dyDescent="0.25">
      <c r="A33" t="s">
        <v>919</v>
      </c>
      <c r="B33" t="str">
        <f t="shared" ref="B33:B64" si="1">"[["&amp;A33&amp;"]]"</f>
        <v>[[Daylight]]</v>
      </c>
      <c r="C33">
        <v>3</v>
      </c>
      <c r="D33" t="s">
        <v>777</v>
      </c>
      <c r="E33" t="s">
        <v>710</v>
      </c>
      <c r="F33" t="s">
        <v>725</v>
      </c>
      <c r="G33" t="s">
        <v>724</v>
      </c>
      <c r="H33" t="s">
        <v>721</v>
      </c>
    </row>
    <row r="34" spans="1:10" x14ac:dyDescent="0.25">
      <c r="A34" t="s">
        <v>1075</v>
      </c>
      <c r="B34" t="str">
        <f t="shared" si="1"/>
        <v>[[Delayed Blast Fireball]]</v>
      </c>
      <c r="C34">
        <v>7</v>
      </c>
      <c r="D34" t="s">
        <v>777</v>
      </c>
      <c r="E34" t="s">
        <v>710</v>
      </c>
      <c r="F34" t="s">
        <v>733</v>
      </c>
      <c r="G34" t="s">
        <v>720</v>
      </c>
      <c r="H34" t="s">
        <v>713</v>
      </c>
      <c r="I34" t="s">
        <v>722</v>
      </c>
    </row>
    <row r="35" spans="1:10" x14ac:dyDescent="0.25">
      <c r="A35" t="s">
        <v>1076</v>
      </c>
      <c r="B35" t="str">
        <f t="shared" si="1"/>
        <v>[[Demiplane]]</v>
      </c>
      <c r="C35">
        <v>8</v>
      </c>
      <c r="D35" t="s">
        <v>749</v>
      </c>
      <c r="E35" t="s">
        <v>710</v>
      </c>
      <c r="F35" t="s">
        <v>725</v>
      </c>
      <c r="G35" t="s">
        <v>724</v>
      </c>
      <c r="H35" t="s">
        <v>840</v>
      </c>
    </row>
    <row r="36" spans="1:10" x14ac:dyDescent="0.25">
      <c r="A36" t="s">
        <v>760</v>
      </c>
      <c r="B36" t="str">
        <f t="shared" si="1"/>
        <v>[[Detect Magic]]</v>
      </c>
      <c r="C36">
        <v>1</v>
      </c>
      <c r="D36" t="s">
        <v>745</v>
      </c>
      <c r="E36" t="s">
        <v>715</v>
      </c>
      <c r="F36" t="s">
        <v>738</v>
      </c>
      <c r="G36" t="s">
        <v>746</v>
      </c>
      <c r="H36" t="s">
        <v>721</v>
      </c>
      <c r="I36" t="s">
        <v>722</v>
      </c>
      <c r="J36" t="s">
        <v>716</v>
      </c>
    </row>
    <row r="37" spans="1:10" x14ac:dyDescent="0.25">
      <c r="A37" t="s">
        <v>761</v>
      </c>
      <c r="B37" t="str">
        <f t="shared" si="1"/>
        <v>[[Detect Thoughts]]</v>
      </c>
      <c r="C37">
        <v>2</v>
      </c>
      <c r="D37" t="s">
        <v>745</v>
      </c>
      <c r="E37" t="s">
        <v>710</v>
      </c>
      <c r="F37" t="s">
        <v>738</v>
      </c>
      <c r="G37" t="s">
        <v>720</v>
      </c>
      <c r="H37" t="s">
        <v>713</v>
      </c>
      <c r="I37" t="s">
        <v>722</v>
      </c>
    </row>
    <row r="38" spans="1:10" x14ac:dyDescent="0.25">
      <c r="A38" t="s">
        <v>762</v>
      </c>
      <c r="B38" t="str">
        <f t="shared" si="1"/>
        <v>[[Dimension Door]]</v>
      </c>
      <c r="C38">
        <v>4</v>
      </c>
      <c r="D38" t="s">
        <v>749</v>
      </c>
      <c r="E38" t="s">
        <v>710</v>
      </c>
      <c r="F38" t="s">
        <v>763</v>
      </c>
      <c r="G38" t="s">
        <v>730</v>
      </c>
      <c r="H38" t="s">
        <v>740</v>
      </c>
    </row>
    <row r="39" spans="1:10" x14ac:dyDescent="0.25">
      <c r="A39" t="s">
        <v>764</v>
      </c>
      <c r="B39" t="str">
        <f t="shared" si="1"/>
        <v>[[Disguise Self]]</v>
      </c>
      <c r="C39">
        <v>1</v>
      </c>
      <c r="D39" t="s">
        <v>751</v>
      </c>
      <c r="E39" t="s">
        <v>710</v>
      </c>
      <c r="F39" t="s">
        <v>738</v>
      </c>
      <c r="G39" t="s">
        <v>724</v>
      </c>
      <c r="H39" t="s">
        <v>721</v>
      </c>
    </row>
    <row r="40" spans="1:10" x14ac:dyDescent="0.25">
      <c r="A40" t="s">
        <v>1077</v>
      </c>
      <c r="B40" t="str">
        <f t="shared" si="1"/>
        <v>[[Disintegrate]]</v>
      </c>
      <c r="C40">
        <v>6</v>
      </c>
      <c r="D40" t="s">
        <v>718</v>
      </c>
      <c r="E40" t="s">
        <v>710</v>
      </c>
      <c r="F40" t="s">
        <v>725</v>
      </c>
      <c r="G40" t="s">
        <v>730</v>
      </c>
      <c r="H40" t="s">
        <v>713</v>
      </c>
    </row>
    <row r="41" spans="1:10" x14ac:dyDescent="0.25">
      <c r="A41" t="s">
        <v>765</v>
      </c>
      <c r="B41" t="str">
        <f t="shared" si="1"/>
        <v>[[Dispel Magic]]</v>
      </c>
      <c r="C41">
        <v>3</v>
      </c>
      <c r="D41" t="s">
        <v>737</v>
      </c>
      <c r="E41" t="s">
        <v>710</v>
      </c>
      <c r="F41" t="s">
        <v>719</v>
      </c>
      <c r="G41" t="s">
        <v>730</v>
      </c>
      <c r="H41" t="s">
        <v>721</v>
      </c>
    </row>
    <row r="42" spans="1:10" x14ac:dyDescent="0.25">
      <c r="A42" t="s">
        <v>989</v>
      </c>
      <c r="B42" t="str">
        <f t="shared" si="1"/>
        <v>[[Dominate Beast]]</v>
      </c>
      <c r="C42">
        <v>4</v>
      </c>
      <c r="D42" t="s">
        <v>709</v>
      </c>
      <c r="E42" t="s">
        <v>710</v>
      </c>
      <c r="F42" t="s">
        <v>725</v>
      </c>
      <c r="G42" t="s">
        <v>720</v>
      </c>
      <c r="H42" t="s">
        <v>721</v>
      </c>
      <c r="I42" t="s">
        <v>722</v>
      </c>
    </row>
    <row r="43" spans="1:10" x14ac:dyDescent="0.25">
      <c r="A43" t="s">
        <v>767</v>
      </c>
      <c r="B43" t="str">
        <f t="shared" si="1"/>
        <v>[[Dominate Monster]]</v>
      </c>
      <c r="C43">
        <v>8</v>
      </c>
      <c r="D43" t="s">
        <v>709</v>
      </c>
      <c r="E43" t="s">
        <v>710</v>
      </c>
      <c r="F43" t="s">
        <v>725</v>
      </c>
      <c r="G43" t="s">
        <v>724</v>
      </c>
      <c r="H43" t="s">
        <v>721</v>
      </c>
      <c r="I43" t="s">
        <v>722</v>
      </c>
    </row>
    <row r="44" spans="1:10" x14ac:dyDescent="0.25">
      <c r="A44" t="s">
        <v>768</v>
      </c>
      <c r="B44" t="str">
        <f t="shared" si="1"/>
        <v>[[Dominate Person]]</v>
      </c>
      <c r="C44">
        <v>5</v>
      </c>
      <c r="D44" t="s">
        <v>709</v>
      </c>
      <c r="E44" t="s">
        <v>710</v>
      </c>
      <c r="F44" t="s">
        <v>725</v>
      </c>
      <c r="G44" t="s">
        <v>720</v>
      </c>
      <c r="H44" t="s">
        <v>721</v>
      </c>
      <c r="I44" t="s">
        <v>722</v>
      </c>
    </row>
    <row r="45" spans="1:10" x14ac:dyDescent="0.25">
      <c r="A45" t="s">
        <v>1078</v>
      </c>
      <c r="B45" t="str">
        <f t="shared" si="1"/>
        <v>[[Dragon's Breath]]</v>
      </c>
      <c r="C45">
        <v>2</v>
      </c>
      <c r="D45" t="s">
        <v>718</v>
      </c>
      <c r="E45" t="s">
        <v>804</v>
      </c>
      <c r="F45" t="s">
        <v>729</v>
      </c>
      <c r="G45" t="s">
        <v>720</v>
      </c>
      <c r="H45" t="s">
        <v>713</v>
      </c>
      <c r="I45" t="s">
        <v>722</v>
      </c>
    </row>
    <row r="46" spans="1:10" x14ac:dyDescent="0.25">
      <c r="A46" t="s">
        <v>926</v>
      </c>
      <c r="B46" t="str">
        <f t="shared" si="1"/>
        <v>[[Earthquake]]</v>
      </c>
      <c r="C46">
        <v>8</v>
      </c>
      <c r="D46" t="s">
        <v>718</v>
      </c>
      <c r="E46" t="s">
        <v>710</v>
      </c>
      <c r="F46" t="s">
        <v>763</v>
      </c>
      <c r="G46" t="s">
        <v>720</v>
      </c>
      <c r="H46" t="s">
        <v>713</v>
      </c>
      <c r="I46" t="s">
        <v>722</v>
      </c>
    </row>
    <row r="47" spans="1:10" x14ac:dyDescent="0.25">
      <c r="A47" t="s">
        <v>992</v>
      </c>
      <c r="B47" t="str">
        <f t="shared" si="1"/>
        <v>[[Elementalism]]</v>
      </c>
      <c r="C47">
        <v>0</v>
      </c>
      <c r="D47" t="s">
        <v>718</v>
      </c>
      <c r="E47" t="s">
        <v>710</v>
      </c>
      <c r="F47" t="s">
        <v>711</v>
      </c>
      <c r="G47" t="s">
        <v>730</v>
      </c>
      <c r="H47" t="s">
        <v>721</v>
      </c>
    </row>
    <row r="48" spans="1:10" x14ac:dyDescent="0.25">
      <c r="A48" t="s">
        <v>771</v>
      </c>
      <c r="B48" t="str">
        <f t="shared" si="1"/>
        <v>[[Enhance Ability]]</v>
      </c>
      <c r="C48">
        <v>2</v>
      </c>
      <c r="D48" t="s">
        <v>718</v>
      </c>
      <c r="E48" t="s">
        <v>710</v>
      </c>
      <c r="F48" t="s">
        <v>729</v>
      </c>
      <c r="G48" t="s">
        <v>724</v>
      </c>
      <c r="H48" t="s">
        <v>713</v>
      </c>
      <c r="I48" t="s">
        <v>722</v>
      </c>
    </row>
    <row r="49" spans="1:9" x14ac:dyDescent="0.25">
      <c r="A49" t="s">
        <v>772</v>
      </c>
      <c r="B49" t="str">
        <f t="shared" si="1"/>
        <v>[[Enlarge/Reduce]]</v>
      </c>
      <c r="C49">
        <v>2</v>
      </c>
      <c r="D49" t="s">
        <v>718</v>
      </c>
      <c r="E49" t="s">
        <v>710</v>
      </c>
      <c r="F49" t="s">
        <v>711</v>
      </c>
      <c r="G49" t="s">
        <v>720</v>
      </c>
      <c r="H49" t="s">
        <v>713</v>
      </c>
      <c r="I49" t="s">
        <v>722</v>
      </c>
    </row>
    <row r="50" spans="1:9" x14ac:dyDescent="0.25">
      <c r="A50" t="s">
        <v>774</v>
      </c>
      <c r="B50" t="str">
        <f t="shared" si="1"/>
        <v>[[Etherealness]]</v>
      </c>
      <c r="C50">
        <v>7</v>
      </c>
      <c r="D50" t="s">
        <v>749</v>
      </c>
      <c r="E50" t="s">
        <v>710</v>
      </c>
      <c r="F50" t="s">
        <v>738</v>
      </c>
      <c r="G50" t="s">
        <v>728</v>
      </c>
      <c r="H50" t="s">
        <v>721</v>
      </c>
    </row>
    <row r="51" spans="1:9" x14ac:dyDescent="0.25">
      <c r="A51" t="s">
        <v>1079</v>
      </c>
      <c r="B51" t="str">
        <f t="shared" si="1"/>
        <v>[[Expeditious Retreat]]</v>
      </c>
      <c r="C51">
        <v>1</v>
      </c>
      <c r="D51" t="s">
        <v>718</v>
      </c>
      <c r="E51" t="s">
        <v>804</v>
      </c>
      <c r="F51" t="s">
        <v>738</v>
      </c>
      <c r="G51" t="s">
        <v>746</v>
      </c>
      <c r="H51" t="s">
        <v>721</v>
      </c>
      <c r="I51" t="s">
        <v>722</v>
      </c>
    </row>
    <row r="52" spans="1:9" x14ac:dyDescent="0.25">
      <c r="A52" t="s">
        <v>775</v>
      </c>
      <c r="B52" t="str">
        <f t="shared" si="1"/>
        <v>[[Eyebite]]</v>
      </c>
      <c r="C52">
        <v>6</v>
      </c>
      <c r="D52" t="s">
        <v>735</v>
      </c>
      <c r="E52" t="s">
        <v>710</v>
      </c>
      <c r="F52" t="s">
        <v>738</v>
      </c>
      <c r="G52" t="s">
        <v>720</v>
      </c>
      <c r="H52" t="s">
        <v>721</v>
      </c>
      <c r="I52" t="s">
        <v>722</v>
      </c>
    </row>
    <row r="53" spans="1:9" x14ac:dyDescent="0.25">
      <c r="A53" t="s">
        <v>1080</v>
      </c>
      <c r="B53" t="str">
        <f t="shared" si="1"/>
        <v>[[False Life]]</v>
      </c>
      <c r="C53">
        <v>1</v>
      </c>
      <c r="D53" t="s">
        <v>735</v>
      </c>
      <c r="E53" t="s">
        <v>710</v>
      </c>
      <c r="F53" t="s">
        <v>738</v>
      </c>
      <c r="G53" t="s">
        <v>730</v>
      </c>
      <c r="H53" t="s">
        <v>713</v>
      </c>
    </row>
    <row r="54" spans="1:9" x14ac:dyDescent="0.25">
      <c r="A54" t="s">
        <v>778</v>
      </c>
      <c r="B54" t="str">
        <f t="shared" si="1"/>
        <v>[[Fear]]</v>
      </c>
      <c r="C54">
        <v>3</v>
      </c>
      <c r="D54" t="s">
        <v>751</v>
      </c>
      <c r="E54" t="s">
        <v>710</v>
      </c>
      <c r="F54" t="s">
        <v>738</v>
      </c>
      <c r="G54" t="s">
        <v>720</v>
      </c>
      <c r="H54" t="s">
        <v>713</v>
      </c>
      <c r="I54" t="s">
        <v>722</v>
      </c>
    </row>
    <row r="55" spans="1:9" x14ac:dyDescent="0.25">
      <c r="A55" t="s">
        <v>779</v>
      </c>
      <c r="B55" t="str">
        <f t="shared" si="1"/>
        <v>[[Feather Fall]]</v>
      </c>
      <c r="C55">
        <v>1</v>
      </c>
      <c r="D55" t="s">
        <v>718</v>
      </c>
      <c r="E55" t="s">
        <v>780</v>
      </c>
      <c r="F55" t="s">
        <v>725</v>
      </c>
      <c r="G55" t="s">
        <v>720</v>
      </c>
      <c r="H55" t="s">
        <v>781</v>
      </c>
    </row>
    <row r="56" spans="1:9" x14ac:dyDescent="0.25">
      <c r="A56" t="s">
        <v>1081</v>
      </c>
      <c r="B56" t="str">
        <f t="shared" si="1"/>
        <v>[[Finger of Death]]</v>
      </c>
      <c r="C56">
        <v>7</v>
      </c>
      <c r="D56" t="s">
        <v>735</v>
      </c>
      <c r="E56" t="s">
        <v>710</v>
      </c>
      <c r="F56" t="s">
        <v>725</v>
      </c>
      <c r="G56" t="s">
        <v>730</v>
      </c>
      <c r="H56" t="s">
        <v>721</v>
      </c>
    </row>
    <row r="57" spans="1:9" x14ac:dyDescent="0.25">
      <c r="A57" t="s">
        <v>1082</v>
      </c>
      <c r="B57" t="str">
        <f t="shared" si="1"/>
        <v>[[Fire Bolt]]</v>
      </c>
      <c r="C57">
        <v>0</v>
      </c>
      <c r="D57" t="s">
        <v>777</v>
      </c>
      <c r="E57" t="s">
        <v>710</v>
      </c>
      <c r="F57" t="s">
        <v>719</v>
      </c>
      <c r="G57" t="s">
        <v>730</v>
      </c>
      <c r="H57" t="s">
        <v>721</v>
      </c>
    </row>
    <row r="58" spans="1:9" x14ac:dyDescent="0.25">
      <c r="A58" t="s">
        <v>994</v>
      </c>
      <c r="B58" t="str">
        <f t="shared" si="1"/>
        <v>[[Fire Shield]]</v>
      </c>
      <c r="C58">
        <v>4</v>
      </c>
      <c r="D58" t="s">
        <v>777</v>
      </c>
      <c r="E58" t="s">
        <v>710</v>
      </c>
      <c r="F58" t="s">
        <v>738</v>
      </c>
      <c r="G58" t="s">
        <v>746</v>
      </c>
      <c r="H58" t="s">
        <v>713</v>
      </c>
    </row>
    <row r="59" spans="1:9" x14ac:dyDescent="0.25">
      <c r="A59" t="s">
        <v>928</v>
      </c>
      <c r="B59" t="str">
        <f t="shared" si="1"/>
        <v>[[Fire Storm]]</v>
      </c>
      <c r="C59">
        <v>7</v>
      </c>
      <c r="D59" t="s">
        <v>777</v>
      </c>
      <c r="E59" t="s">
        <v>710</v>
      </c>
      <c r="F59" t="s">
        <v>733</v>
      </c>
      <c r="G59" t="s">
        <v>730</v>
      </c>
      <c r="H59" t="s">
        <v>721</v>
      </c>
    </row>
    <row r="60" spans="1:9" x14ac:dyDescent="0.25">
      <c r="A60" t="s">
        <v>1083</v>
      </c>
      <c r="B60" t="str">
        <f t="shared" si="1"/>
        <v>[[Fireball]]</v>
      </c>
      <c r="C60">
        <v>3</v>
      </c>
      <c r="D60" t="s">
        <v>777</v>
      </c>
      <c r="E60" t="s">
        <v>710</v>
      </c>
      <c r="F60" t="s">
        <v>733</v>
      </c>
      <c r="G60" t="s">
        <v>730</v>
      </c>
      <c r="H60" t="s">
        <v>713</v>
      </c>
    </row>
    <row r="61" spans="1:9" x14ac:dyDescent="0.25">
      <c r="A61" t="s">
        <v>995</v>
      </c>
      <c r="B61" t="str">
        <f t="shared" si="1"/>
        <v>[[Flame Blade]]</v>
      </c>
      <c r="C61">
        <v>2</v>
      </c>
      <c r="D61" t="s">
        <v>777</v>
      </c>
      <c r="E61" t="s">
        <v>804</v>
      </c>
      <c r="F61" t="s">
        <v>738</v>
      </c>
      <c r="G61" t="s">
        <v>746</v>
      </c>
      <c r="H61" t="s">
        <v>713</v>
      </c>
      <c r="I61" t="s">
        <v>722</v>
      </c>
    </row>
    <row r="62" spans="1:9" x14ac:dyDescent="0.25">
      <c r="A62" t="s">
        <v>996</v>
      </c>
      <c r="B62" t="str">
        <f t="shared" si="1"/>
        <v>[[Flaming Sphere]]</v>
      </c>
      <c r="C62">
        <v>2</v>
      </c>
      <c r="D62" t="s">
        <v>749</v>
      </c>
      <c r="E62" t="s">
        <v>710</v>
      </c>
      <c r="F62" t="s">
        <v>725</v>
      </c>
      <c r="G62" t="s">
        <v>720</v>
      </c>
      <c r="H62" t="s">
        <v>713</v>
      </c>
      <c r="I62" t="s">
        <v>722</v>
      </c>
    </row>
    <row r="63" spans="1:9" x14ac:dyDescent="0.25">
      <c r="A63" t="s">
        <v>997</v>
      </c>
      <c r="B63" t="str">
        <f t="shared" si="1"/>
        <v>[[Flesh to Stone]]</v>
      </c>
      <c r="C63">
        <v>6</v>
      </c>
      <c r="D63" t="s">
        <v>718</v>
      </c>
      <c r="E63" t="s">
        <v>710</v>
      </c>
      <c r="F63" t="s">
        <v>725</v>
      </c>
      <c r="G63" t="s">
        <v>720</v>
      </c>
      <c r="H63" t="s">
        <v>713</v>
      </c>
      <c r="I63" t="s">
        <v>722</v>
      </c>
    </row>
    <row r="64" spans="1:9" x14ac:dyDescent="0.25">
      <c r="A64" t="s">
        <v>1084</v>
      </c>
      <c r="B64" t="str">
        <f t="shared" si="1"/>
        <v>[[Fly]]</v>
      </c>
      <c r="C64">
        <v>3</v>
      </c>
      <c r="D64" t="s">
        <v>718</v>
      </c>
      <c r="E64" t="s">
        <v>710</v>
      </c>
      <c r="F64" t="s">
        <v>729</v>
      </c>
      <c r="G64" t="s">
        <v>746</v>
      </c>
      <c r="H64" t="s">
        <v>713</v>
      </c>
      <c r="I64" t="s">
        <v>722</v>
      </c>
    </row>
    <row r="65" spans="1:9" x14ac:dyDescent="0.25">
      <c r="A65" t="s">
        <v>998</v>
      </c>
      <c r="B65" t="str">
        <f t="shared" ref="B65:B96" si="2">"[["&amp;A65&amp;"]]"</f>
        <v>[[Fog Cloud]]</v>
      </c>
      <c r="C65">
        <v>1</v>
      </c>
      <c r="D65" t="s">
        <v>749</v>
      </c>
      <c r="E65" t="s">
        <v>710</v>
      </c>
      <c r="F65" t="s">
        <v>719</v>
      </c>
      <c r="G65" t="s">
        <v>724</v>
      </c>
      <c r="H65" t="s">
        <v>721</v>
      </c>
      <c r="I65" t="s">
        <v>722</v>
      </c>
    </row>
    <row r="66" spans="1:9" x14ac:dyDescent="0.25">
      <c r="A66" t="s">
        <v>790</v>
      </c>
      <c r="B66" t="str">
        <f t="shared" si="2"/>
        <v>[[Friends]]</v>
      </c>
      <c r="C66">
        <v>0</v>
      </c>
      <c r="D66" t="s">
        <v>709</v>
      </c>
      <c r="E66" t="s">
        <v>710</v>
      </c>
      <c r="F66" t="s">
        <v>791</v>
      </c>
      <c r="G66" t="s">
        <v>720</v>
      </c>
      <c r="H66" t="s">
        <v>792</v>
      </c>
      <c r="I66" t="s">
        <v>722</v>
      </c>
    </row>
    <row r="67" spans="1:9" x14ac:dyDescent="0.25">
      <c r="A67" t="s">
        <v>1085</v>
      </c>
      <c r="B67" t="str">
        <f t="shared" si="2"/>
        <v>[[Gaseous Form]]</v>
      </c>
      <c r="C67">
        <v>3</v>
      </c>
      <c r="D67" t="s">
        <v>718</v>
      </c>
      <c r="E67" t="s">
        <v>710</v>
      </c>
      <c r="F67" t="s">
        <v>729</v>
      </c>
      <c r="G67" t="s">
        <v>724</v>
      </c>
      <c r="H67" t="s">
        <v>713</v>
      </c>
      <c r="I67" t="s">
        <v>722</v>
      </c>
    </row>
    <row r="68" spans="1:9" x14ac:dyDescent="0.25">
      <c r="A68" t="s">
        <v>932</v>
      </c>
      <c r="B68" t="str">
        <f t="shared" si="2"/>
        <v>[[Gate]]</v>
      </c>
      <c r="C68">
        <v>9</v>
      </c>
      <c r="D68" t="s">
        <v>749</v>
      </c>
      <c r="E68" t="s">
        <v>710</v>
      </c>
      <c r="F68" t="s">
        <v>725</v>
      </c>
      <c r="G68" t="s">
        <v>720</v>
      </c>
      <c r="H68" t="s">
        <v>713</v>
      </c>
      <c r="I68" t="s">
        <v>722</v>
      </c>
    </row>
    <row r="69" spans="1:9" x14ac:dyDescent="0.25">
      <c r="A69" t="s">
        <v>1086</v>
      </c>
      <c r="B69" t="str">
        <f t="shared" si="2"/>
        <v>[[Globe of Invulnerability]]</v>
      </c>
      <c r="C69">
        <v>6</v>
      </c>
      <c r="D69" t="s">
        <v>737</v>
      </c>
      <c r="E69" t="s">
        <v>710</v>
      </c>
      <c r="F69" t="s">
        <v>738</v>
      </c>
      <c r="G69" t="s">
        <v>720</v>
      </c>
      <c r="H69" t="s">
        <v>713</v>
      </c>
      <c r="I69" t="s">
        <v>722</v>
      </c>
    </row>
    <row r="70" spans="1:9" x14ac:dyDescent="0.25">
      <c r="A70" t="s">
        <v>1087</v>
      </c>
      <c r="B70" t="str">
        <f t="shared" si="2"/>
        <v>[[Grease]]</v>
      </c>
      <c r="C70">
        <v>1</v>
      </c>
      <c r="D70" t="s">
        <v>749</v>
      </c>
      <c r="E70" t="s">
        <v>710</v>
      </c>
      <c r="F70" t="s">
        <v>725</v>
      </c>
      <c r="G70" t="s">
        <v>720</v>
      </c>
      <c r="H70" t="s">
        <v>713</v>
      </c>
    </row>
    <row r="71" spans="1:9" x14ac:dyDescent="0.25">
      <c r="A71" t="s">
        <v>798</v>
      </c>
      <c r="B71" t="str">
        <f t="shared" si="2"/>
        <v>[[Greater Invisibility]]</v>
      </c>
      <c r="C71">
        <v>4</v>
      </c>
      <c r="D71" t="s">
        <v>751</v>
      </c>
      <c r="E71" t="s">
        <v>710</v>
      </c>
      <c r="F71" t="s">
        <v>729</v>
      </c>
      <c r="G71" t="s">
        <v>720</v>
      </c>
      <c r="H71" t="s">
        <v>721</v>
      </c>
      <c r="I71" t="s">
        <v>722</v>
      </c>
    </row>
    <row r="72" spans="1:9" x14ac:dyDescent="0.25">
      <c r="A72" t="s">
        <v>1002</v>
      </c>
      <c r="B72" t="str">
        <f t="shared" si="2"/>
        <v>[[Gust of Wind]]</v>
      </c>
      <c r="C72">
        <v>2</v>
      </c>
      <c r="D72" t="s">
        <v>777</v>
      </c>
      <c r="E72" t="s">
        <v>710</v>
      </c>
      <c r="F72" t="s">
        <v>738</v>
      </c>
      <c r="G72" t="s">
        <v>720</v>
      </c>
      <c r="H72" t="s">
        <v>713</v>
      </c>
      <c r="I72" t="s">
        <v>722</v>
      </c>
    </row>
    <row r="73" spans="1:9" x14ac:dyDescent="0.25">
      <c r="A73" t="s">
        <v>1088</v>
      </c>
      <c r="B73" t="str">
        <f t="shared" si="2"/>
        <v>[[Haste]]</v>
      </c>
      <c r="C73">
        <v>3</v>
      </c>
      <c r="D73" t="s">
        <v>718</v>
      </c>
      <c r="E73" t="s">
        <v>710</v>
      </c>
      <c r="F73" t="s">
        <v>711</v>
      </c>
      <c r="G73" t="s">
        <v>720</v>
      </c>
      <c r="H73" t="s">
        <v>713</v>
      </c>
      <c r="I73" t="s">
        <v>722</v>
      </c>
    </row>
    <row r="74" spans="1:9" x14ac:dyDescent="0.25">
      <c r="A74" t="s">
        <v>808</v>
      </c>
      <c r="B74" t="str">
        <f t="shared" si="2"/>
        <v>[[Hold Monster]]</v>
      </c>
      <c r="C74">
        <v>5</v>
      </c>
      <c r="D74" t="s">
        <v>709</v>
      </c>
      <c r="E74" t="s">
        <v>710</v>
      </c>
      <c r="F74" t="s">
        <v>756</v>
      </c>
      <c r="G74" t="s">
        <v>720</v>
      </c>
      <c r="H74" t="s">
        <v>713</v>
      </c>
      <c r="I74" t="s">
        <v>722</v>
      </c>
    </row>
    <row r="75" spans="1:9" x14ac:dyDescent="0.25">
      <c r="A75" t="s">
        <v>809</v>
      </c>
      <c r="B75" t="str">
        <f t="shared" si="2"/>
        <v>[[Hold Person]]</v>
      </c>
      <c r="C75">
        <v>2</v>
      </c>
      <c r="D75" t="s">
        <v>709</v>
      </c>
      <c r="E75" t="s">
        <v>710</v>
      </c>
      <c r="F75" t="s">
        <v>725</v>
      </c>
      <c r="G75" t="s">
        <v>720</v>
      </c>
      <c r="H75" t="s">
        <v>713</v>
      </c>
      <c r="I75" t="s">
        <v>722</v>
      </c>
    </row>
    <row r="76" spans="1:9" x14ac:dyDescent="0.25">
      <c r="A76" t="s">
        <v>810</v>
      </c>
      <c r="B76" t="str">
        <f t="shared" si="2"/>
        <v>[[Hypnotic Pattern]]</v>
      </c>
      <c r="C76">
        <v>3</v>
      </c>
      <c r="D76" t="s">
        <v>751</v>
      </c>
      <c r="E76" t="s">
        <v>710</v>
      </c>
      <c r="F76" t="s">
        <v>719</v>
      </c>
      <c r="G76" t="s">
        <v>720</v>
      </c>
      <c r="H76" t="s">
        <v>792</v>
      </c>
      <c r="I76" t="s">
        <v>722</v>
      </c>
    </row>
    <row r="77" spans="1:9" x14ac:dyDescent="0.25">
      <c r="A77" t="s">
        <v>1003</v>
      </c>
      <c r="B77" t="str">
        <f t="shared" si="2"/>
        <v>[[Ice Knife]]</v>
      </c>
      <c r="C77">
        <v>1</v>
      </c>
      <c r="D77" t="s">
        <v>749</v>
      </c>
      <c r="E77" t="s">
        <v>710</v>
      </c>
      <c r="F77" t="s">
        <v>725</v>
      </c>
      <c r="G77" t="s">
        <v>730</v>
      </c>
      <c r="H77" t="s">
        <v>792</v>
      </c>
    </row>
    <row r="78" spans="1:9" x14ac:dyDescent="0.25">
      <c r="A78" t="s">
        <v>1004</v>
      </c>
      <c r="B78" t="str">
        <f t="shared" si="2"/>
        <v>[[Ice Storm]]</v>
      </c>
      <c r="C78">
        <v>4</v>
      </c>
      <c r="D78" t="s">
        <v>777</v>
      </c>
      <c r="E78" t="s">
        <v>710</v>
      </c>
      <c r="F78" t="s">
        <v>802</v>
      </c>
      <c r="G78" t="s">
        <v>730</v>
      </c>
      <c r="H78" t="s">
        <v>713</v>
      </c>
    </row>
    <row r="79" spans="1:9" x14ac:dyDescent="0.25">
      <c r="A79" t="s">
        <v>1005</v>
      </c>
      <c r="B79" t="str">
        <f t="shared" si="2"/>
        <v>[[Incendiary CLoud]]</v>
      </c>
      <c r="C79">
        <v>8</v>
      </c>
      <c r="D79" t="s">
        <v>749</v>
      </c>
      <c r="E79" t="s">
        <v>710</v>
      </c>
      <c r="F79" t="s">
        <v>733</v>
      </c>
      <c r="G79" t="s">
        <v>720</v>
      </c>
      <c r="H79" t="s">
        <v>721</v>
      </c>
      <c r="I79" t="s">
        <v>722</v>
      </c>
    </row>
    <row r="80" spans="1:9" x14ac:dyDescent="0.25">
      <c r="A80" t="s">
        <v>942</v>
      </c>
      <c r="B80" t="str">
        <f t="shared" si="2"/>
        <v>[[Insect Plague]]</v>
      </c>
      <c r="C80">
        <v>5</v>
      </c>
      <c r="D80" t="s">
        <v>749</v>
      </c>
      <c r="E80" t="s">
        <v>710</v>
      </c>
      <c r="F80" t="s">
        <v>802</v>
      </c>
      <c r="G80" t="s">
        <v>746</v>
      </c>
      <c r="H80" t="s">
        <v>713</v>
      </c>
      <c r="I80" t="s">
        <v>722</v>
      </c>
    </row>
    <row r="81" spans="1:9" x14ac:dyDescent="0.25">
      <c r="A81" t="s">
        <v>814</v>
      </c>
      <c r="B81" t="str">
        <f t="shared" si="2"/>
        <v>[[Invisibility]]</v>
      </c>
      <c r="C81">
        <v>2</v>
      </c>
      <c r="D81" t="s">
        <v>751</v>
      </c>
      <c r="E81" t="s">
        <v>710</v>
      </c>
      <c r="F81" t="s">
        <v>729</v>
      </c>
      <c r="G81" t="s">
        <v>724</v>
      </c>
      <c r="H81" t="s">
        <v>713</v>
      </c>
      <c r="I81" t="s">
        <v>722</v>
      </c>
    </row>
    <row r="82" spans="1:9" x14ac:dyDescent="0.25">
      <c r="A82" t="s">
        <v>1006</v>
      </c>
      <c r="B82" t="str">
        <f t="shared" si="2"/>
        <v>[[Jump]]</v>
      </c>
      <c r="C82">
        <v>1</v>
      </c>
      <c r="D82" t="s">
        <v>718</v>
      </c>
      <c r="E82" t="s">
        <v>804</v>
      </c>
      <c r="F82" t="s">
        <v>729</v>
      </c>
      <c r="G82" t="s">
        <v>720</v>
      </c>
      <c r="H82" t="s">
        <v>713</v>
      </c>
    </row>
    <row r="83" spans="1:9" x14ac:dyDescent="0.25">
      <c r="A83" t="s">
        <v>815</v>
      </c>
      <c r="B83" t="str">
        <f t="shared" si="2"/>
        <v>[[Knock]]</v>
      </c>
      <c r="C83">
        <v>2</v>
      </c>
      <c r="D83" t="s">
        <v>718</v>
      </c>
      <c r="E83" t="s">
        <v>710</v>
      </c>
      <c r="F83" t="s">
        <v>725</v>
      </c>
      <c r="G83" t="s">
        <v>730</v>
      </c>
      <c r="H83" t="s">
        <v>740</v>
      </c>
    </row>
    <row r="84" spans="1:9" x14ac:dyDescent="0.25">
      <c r="A84" t="s">
        <v>1089</v>
      </c>
      <c r="B84" t="str">
        <f t="shared" si="2"/>
        <v>[[Levitate]]</v>
      </c>
      <c r="C84">
        <v>2</v>
      </c>
      <c r="D84" t="s">
        <v>718</v>
      </c>
      <c r="E84" t="s">
        <v>710</v>
      </c>
      <c r="F84" t="s">
        <v>725</v>
      </c>
      <c r="G84" t="s">
        <v>746</v>
      </c>
      <c r="H84" t="s">
        <v>713</v>
      </c>
      <c r="I84" t="s">
        <v>722</v>
      </c>
    </row>
    <row r="85" spans="1:9" x14ac:dyDescent="0.25">
      <c r="A85" t="s">
        <v>819</v>
      </c>
      <c r="B85" t="str">
        <f t="shared" si="2"/>
        <v>[[Light]]</v>
      </c>
      <c r="C85">
        <v>0</v>
      </c>
      <c r="D85" t="s">
        <v>777</v>
      </c>
      <c r="E85" t="s">
        <v>710</v>
      </c>
      <c r="F85" t="s">
        <v>729</v>
      </c>
      <c r="G85" t="s">
        <v>724</v>
      </c>
      <c r="H85" t="s">
        <v>781</v>
      </c>
    </row>
    <row r="86" spans="1:9" x14ac:dyDescent="0.25">
      <c r="A86" t="s">
        <v>1090</v>
      </c>
      <c r="B86" t="str">
        <f t="shared" si="2"/>
        <v>[[Lightning Bolt]]</v>
      </c>
      <c r="C86">
        <v>3</v>
      </c>
      <c r="D86" t="s">
        <v>777</v>
      </c>
      <c r="E86" t="s">
        <v>710</v>
      </c>
      <c r="F86" t="s">
        <v>738</v>
      </c>
      <c r="G86" t="s">
        <v>730</v>
      </c>
      <c r="H86" t="s">
        <v>713</v>
      </c>
    </row>
    <row r="87" spans="1:9" x14ac:dyDescent="0.25">
      <c r="A87" t="s">
        <v>1091</v>
      </c>
      <c r="B87" t="str">
        <f t="shared" si="2"/>
        <v>[[Mage Armor]]</v>
      </c>
      <c r="C87">
        <v>1</v>
      </c>
      <c r="D87" t="s">
        <v>737</v>
      </c>
      <c r="E87" t="s">
        <v>710</v>
      </c>
      <c r="F87" t="s">
        <v>729</v>
      </c>
      <c r="G87" t="s">
        <v>728</v>
      </c>
      <c r="H87" t="s">
        <v>713</v>
      </c>
    </row>
    <row r="88" spans="1:9" x14ac:dyDescent="0.25">
      <c r="A88" t="s">
        <v>824</v>
      </c>
      <c r="B88" t="str">
        <f t="shared" si="2"/>
        <v>[[Mage Hand]]</v>
      </c>
      <c r="C88">
        <v>0</v>
      </c>
      <c r="D88" t="s">
        <v>749</v>
      </c>
      <c r="E88" t="s">
        <v>710</v>
      </c>
      <c r="F88" t="s">
        <v>711</v>
      </c>
      <c r="G88" t="s">
        <v>720</v>
      </c>
      <c r="H88" t="s">
        <v>721</v>
      </c>
    </row>
    <row r="89" spans="1:9" x14ac:dyDescent="0.25">
      <c r="A89" t="s">
        <v>1092</v>
      </c>
      <c r="B89" t="str">
        <f t="shared" si="2"/>
        <v>[[Magic Missile]]</v>
      </c>
      <c r="C89">
        <v>1</v>
      </c>
      <c r="D89" t="s">
        <v>777</v>
      </c>
      <c r="E89" t="s">
        <v>710</v>
      </c>
      <c r="F89" t="s">
        <v>719</v>
      </c>
      <c r="G89" t="s">
        <v>730</v>
      </c>
      <c r="H89" t="s">
        <v>721</v>
      </c>
    </row>
    <row r="90" spans="1:9" x14ac:dyDescent="0.25">
      <c r="A90" t="s">
        <v>1043</v>
      </c>
      <c r="B90" t="str">
        <f t="shared" si="2"/>
        <v>[[Magic Weapon]]</v>
      </c>
      <c r="C90">
        <v>2</v>
      </c>
      <c r="D90" t="s">
        <v>718</v>
      </c>
      <c r="E90" t="s">
        <v>804</v>
      </c>
      <c r="F90" t="s">
        <v>729</v>
      </c>
      <c r="G90" t="s">
        <v>724</v>
      </c>
      <c r="H90" t="s">
        <v>721</v>
      </c>
    </row>
    <row r="91" spans="1:9" x14ac:dyDescent="0.25">
      <c r="A91" t="s">
        <v>827</v>
      </c>
      <c r="B91" t="str">
        <f t="shared" si="2"/>
        <v>[[Major Image]]</v>
      </c>
      <c r="C91">
        <v>3</v>
      </c>
      <c r="D91" t="s">
        <v>751</v>
      </c>
      <c r="E91" t="s">
        <v>710</v>
      </c>
      <c r="F91" t="s">
        <v>719</v>
      </c>
      <c r="G91" t="s">
        <v>746</v>
      </c>
      <c r="H91" t="s">
        <v>713</v>
      </c>
      <c r="I91" t="s">
        <v>722</v>
      </c>
    </row>
    <row r="92" spans="1:9" x14ac:dyDescent="0.25">
      <c r="A92" t="s">
        <v>830</v>
      </c>
      <c r="B92" t="str">
        <f t="shared" si="2"/>
        <v>[[Mass Suggestion]]</v>
      </c>
      <c r="C92">
        <v>6</v>
      </c>
      <c r="D92" t="s">
        <v>709</v>
      </c>
      <c r="E92" t="s">
        <v>710</v>
      </c>
      <c r="F92" t="s">
        <v>725</v>
      </c>
      <c r="G92" t="s">
        <v>712</v>
      </c>
      <c r="H92" t="s">
        <v>781</v>
      </c>
    </row>
    <row r="93" spans="1:9" x14ac:dyDescent="0.25">
      <c r="A93" t="s">
        <v>831</v>
      </c>
      <c r="B93" t="str">
        <f t="shared" si="2"/>
        <v>[[Mending]]</v>
      </c>
      <c r="C93">
        <v>0</v>
      </c>
      <c r="D93" t="s">
        <v>718</v>
      </c>
      <c r="E93" t="s">
        <v>720</v>
      </c>
      <c r="F93" t="s">
        <v>729</v>
      </c>
      <c r="G93" t="s">
        <v>730</v>
      </c>
      <c r="H93" t="s">
        <v>713</v>
      </c>
    </row>
    <row r="94" spans="1:9" x14ac:dyDescent="0.25">
      <c r="A94" t="s">
        <v>832</v>
      </c>
      <c r="B94" t="str">
        <f t="shared" si="2"/>
        <v>[[Message]]</v>
      </c>
      <c r="C94">
        <v>0</v>
      </c>
      <c r="D94" t="s">
        <v>718</v>
      </c>
      <c r="E94" t="s">
        <v>710</v>
      </c>
      <c r="F94" t="s">
        <v>719</v>
      </c>
      <c r="G94" t="s">
        <v>833</v>
      </c>
      <c r="H94" t="s">
        <v>792</v>
      </c>
    </row>
    <row r="95" spans="1:9" x14ac:dyDescent="0.25">
      <c r="A95" t="s">
        <v>1093</v>
      </c>
      <c r="B95" t="str">
        <f t="shared" si="2"/>
        <v>[[Meteor Swarm]]</v>
      </c>
      <c r="C95">
        <v>9</v>
      </c>
      <c r="D95" t="s">
        <v>777</v>
      </c>
      <c r="E95" t="s">
        <v>710</v>
      </c>
      <c r="F95" t="s">
        <v>747</v>
      </c>
      <c r="G95" t="s">
        <v>730</v>
      </c>
      <c r="H95" t="s">
        <v>721</v>
      </c>
    </row>
    <row r="96" spans="1:9" x14ac:dyDescent="0.25">
      <c r="A96" t="s">
        <v>1094</v>
      </c>
      <c r="B96" t="str">
        <f t="shared" si="2"/>
        <v>[[Mind Sliver]]</v>
      </c>
      <c r="C96">
        <v>0</v>
      </c>
      <c r="D96" t="s">
        <v>709</v>
      </c>
      <c r="E96" t="s">
        <v>710</v>
      </c>
      <c r="F96" t="s">
        <v>725</v>
      </c>
      <c r="G96" t="s">
        <v>833</v>
      </c>
      <c r="H96" t="s">
        <v>740</v>
      </c>
    </row>
    <row r="97" spans="1:9" x14ac:dyDescent="0.25">
      <c r="A97" t="s">
        <v>1095</v>
      </c>
      <c r="B97" t="str">
        <f t="shared" ref="B97:B128" si="3">"[["&amp;A97&amp;"]]"</f>
        <v>[[Mind Spike]]</v>
      </c>
      <c r="C97">
        <v>2</v>
      </c>
      <c r="D97" t="s">
        <v>745</v>
      </c>
      <c r="E97" t="s">
        <v>710</v>
      </c>
      <c r="F97" t="s">
        <v>719</v>
      </c>
      <c r="G97" t="s">
        <v>724</v>
      </c>
      <c r="H97" t="s">
        <v>840</v>
      </c>
      <c r="I97" t="s">
        <v>722</v>
      </c>
    </row>
    <row r="98" spans="1:9" x14ac:dyDescent="0.25">
      <c r="A98" t="s">
        <v>835</v>
      </c>
      <c r="B98" t="str">
        <f t="shared" si="3"/>
        <v>[[Minor Illusion]]</v>
      </c>
      <c r="C98">
        <v>0</v>
      </c>
      <c r="D98" t="s">
        <v>751</v>
      </c>
      <c r="E98" t="s">
        <v>710</v>
      </c>
      <c r="F98" t="s">
        <v>711</v>
      </c>
      <c r="G98" t="s">
        <v>720</v>
      </c>
      <c r="H98" t="s">
        <v>792</v>
      </c>
    </row>
    <row r="99" spans="1:9" x14ac:dyDescent="0.25">
      <c r="A99" t="s">
        <v>838</v>
      </c>
      <c r="B99" t="str">
        <f t="shared" si="3"/>
        <v>[[Mirror Image]]</v>
      </c>
      <c r="C99">
        <v>2</v>
      </c>
      <c r="D99" t="s">
        <v>751</v>
      </c>
      <c r="E99" t="s">
        <v>710</v>
      </c>
      <c r="F99" t="s">
        <v>738</v>
      </c>
      <c r="G99" t="s">
        <v>720</v>
      </c>
      <c r="H99" t="s">
        <v>721</v>
      </c>
    </row>
    <row r="100" spans="1:9" x14ac:dyDescent="0.25">
      <c r="A100" t="s">
        <v>1096</v>
      </c>
      <c r="B100" t="str">
        <f t="shared" si="3"/>
        <v>[[Misty Step]]</v>
      </c>
      <c r="C100">
        <v>2</v>
      </c>
      <c r="D100" t="s">
        <v>749</v>
      </c>
      <c r="E100" t="s">
        <v>804</v>
      </c>
      <c r="F100" t="s">
        <v>738</v>
      </c>
      <c r="G100" t="s">
        <v>730</v>
      </c>
      <c r="H100" t="s">
        <v>740</v>
      </c>
    </row>
    <row r="101" spans="1:9" x14ac:dyDescent="0.25">
      <c r="A101" t="s">
        <v>1008</v>
      </c>
      <c r="B101" t="str">
        <f t="shared" si="3"/>
        <v>[[Move Earth]]</v>
      </c>
      <c r="C101">
        <v>6</v>
      </c>
      <c r="D101" t="s">
        <v>718</v>
      </c>
      <c r="E101" t="s">
        <v>710</v>
      </c>
      <c r="F101" t="s">
        <v>719</v>
      </c>
      <c r="G101" t="s">
        <v>1009</v>
      </c>
      <c r="H101" t="s">
        <v>713</v>
      </c>
      <c r="I101" t="s">
        <v>722</v>
      </c>
    </row>
    <row r="102" spans="1:9" x14ac:dyDescent="0.25">
      <c r="A102" t="s">
        <v>1097</v>
      </c>
      <c r="B102" t="str">
        <f t="shared" si="3"/>
        <v>[[Otiluke's Freezing Sphere]]</v>
      </c>
      <c r="C102">
        <v>6</v>
      </c>
      <c r="D102" t="s">
        <v>777</v>
      </c>
      <c r="E102" t="s">
        <v>710</v>
      </c>
      <c r="F102" t="s">
        <v>802</v>
      </c>
      <c r="G102" t="s">
        <v>730</v>
      </c>
      <c r="H102" t="s">
        <v>713</v>
      </c>
    </row>
    <row r="103" spans="1:9" x14ac:dyDescent="0.25">
      <c r="A103" t="s">
        <v>846</v>
      </c>
      <c r="B103" t="str">
        <f t="shared" si="3"/>
        <v>[[Phantasmal Force]]</v>
      </c>
      <c r="C103">
        <v>2</v>
      </c>
      <c r="D103" t="s">
        <v>751</v>
      </c>
      <c r="E103" t="s">
        <v>710</v>
      </c>
      <c r="F103" t="s">
        <v>725</v>
      </c>
      <c r="G103" t="s">
        <v>720</v>
      </c>
      <c r="H103" t="s">
        <v>713</v>
      </c>
      <c r="I103" t="s">
        <v>722</v>
      </c>
    </row>
    <row r="104" spans="1:9" x14ac:dyDescent="0.25">
      <c r="A104" t="s">
        <v>947</v>
      </c>
      <c r="B104" t="str">
        <f t="shared" si="3"/>
        <v>[[Plane Shift]]</v>
      </c>
      <c r="C104">
        <v>7</v>
      </c>
      <c r="D104" t="s">
        <v>749</v>
      </c>
      <c r="E104" t="s">
        <v>710</v>
      </c>
      <c r="F104" t="s">
        <v>729</v>
      </c>
      <c r="G104" t="s">
        <v>730</v>
      </c>
      <c r="H104" t="s">
        <v>713</v>
      </c>
    </row>
    <row r="105" spans="1:9" x14ac:dyDescent="0.25">
      <c r="A105" t="s">
        <v>1011</v>
      </c>
      <c r="B105" t="str">
        <f t="shared" si="3"/>
        <v>[[Poison Spray]]</v>
      </c>
      <c r="C105">
        <v>0</v>
      </c>
      <c r="D105" t="s">
        <v>735</v>
      </c>
      <c r="E105" t="s">
        <v>710</v>
      </c>
      <c r="F105" t="s">
        <v>711</v>
      </c>
      <c r="G105" t="s">
        <v>730</v>
      </c>
      <c r="H105" t="s">
        <v>721</v>
      </c>
    </row>
    <row r="106" spans="1:9" x14ac:dyDescent="0.25">
      <c r="A106" t="s">
        <v>851</v>
      </c>
      <c r="B106" t="str">
        <f t="shared" si="3"/>
        <v>[[Polymorph]]</v>
      </c>
      <c r="C106">
        <v>4</v>
      </c>
      <c r="D106" t="s">
        <v>718</v>
      </c>
      <c r="E106" t="s">
        <v>710</v>
      </c>
      <c r="F106" t="s">
        <v>725</v>
      </c>
      <c r="G106" t="s">
        <v>724</v>
      </c>
      <c r="H106" t="s">
        <v>713</v>
      </c>
      <c r="I106" t="s">
        <v>722</v>
      </c>
    </row>
    <row r="107" spans="1:9" x14ac:dyDescent="0.25">
      <c r="A107" t="s">
        <v>854</v>
      </c>
      <c r="B107" t="str">
        <f t="shared" si="3"/>
        <v>[[Power Word Kill]]</v>
      </c>
      <c r="C107">
        <v>9</v>
      </c>
      <c r="D107" t="s">
        <v>709</v>
      </c>
      <c r="E107" t="s">
        <v>710</v>
      </c>
      <c r="F107" t="s">
        <v>725</v>
      </c>
      <c r="G107" t="s">
        <v>730</v>
      </c>
      <c r="H107" t="s">
        <v>740</v>
      </c>
    </row>
    <row r="108" spans="1:9" x14ac:dyDescent="0.25">
      <c r="A108" t="s">
        <v>855</v>
      </c>
      <c r="B108" t="str">
        <f t="shared" si="3"/>
        <v>[[Power Word Stun]]</v>
      </c>
      <c r="C108">
        <v>8</v>
      </c>
      <c r="D108" t="s">
        <v>709</v>
      </c>
      <c r="E108" t="s">
        <v>710</v>
      </c>
      <c r="F108" t="s">
        <v>725</v>
      </c>
      <c r="G108" t="s">
        <v>730</v>
      </c>
      <c r="H108" t="s">
        <v>740</v>
      </c>
    </row>
    <row r="109" spans="1:9" x14ac:dyDescent="0.25">
      <c r="A109" t="s">
        <v>856</v>
      </c>
      <c r="B109" t="str">
        <f t="shared" si="3"/>
        <v>[[Prestidigitation]]</v>
      </c>
      <c r="C109">
        <v>0</v>
      </c>
      <c r="D109" t="s">
        <v>718</v>
      </c>
      <c r="E109" t="s">
        <v>710</v>
      </c>
      <c r="F109" t="s">
        <v>791</v>
      </c>
      <c r="G109" t="s">
        <v>724</v>
      </c>
      <c r="H109" t="s">
        <v>721</v>
      </c>
    </row>
    <row r="110" spans="1:9" x14ac:dyDescent="0.25">
      <c r="A110" t="s">
        <v>857</v>
      </c>
      <c r="B110" t="str">
        <f t="shared" si="3"/>
        <v>[[Prismatic Spray]]</v>
      </c>
      <c r="C110">
        <v>7</v>
      </c>
      <c r="D110" t="s">
        <v>777</v>
      </c>
      <c r="E110" t="s">
        <v>710</v>
      </c>
      <c r="F110" t="s">
        <v>738</v>
      </c>
      <c r="G110" t="s">
        <v>730</v>
      </c>
      <c r="H110" t="s">
        <v>721</v>
      </c>
    </row>
    <row r="111" spans="1:9" x14ac:dyDescent="0.25">
      <c r="A111" t="s">
        <v>949</v>
      </c>
      <c r="B111" t="str">
        <f t="shared" si="3"/>
        <v>[[Protection from Energy]]</v>
      </c>
      <c r="C111">
        <v>3</v>
      </c>
      <c r="D111" t="s">
        <v>737</v>
      </c>
      <c r="E111" t="s">
        <v>710</v>
      </c>
      <c r="F111" t="s">
        <v>729</v>
      </c>
      <c r="G111" t="s">
        <v>724</v>
      </c>
      <c r="H111" t="s">
        <v>721</v>
      </c>
      <c r="I111" t="s">
        <v>722</v>
      </c>
    </row>
    <row r="112" spans="1:9" x14ac:dyDescent="0.25">
      <c r="A112" t="s">
        <v>1098</v>
      </c>
      <c r="B112" t="str">
        <f t="shared" si="3"/>
        <v>[[Ray of Frost]]</v>
      </c>
      <c r="C112">
        <v>0</v>
      </c>
      <c r="D112" t="s">
        <v>777</v>
      </c>
      <c r="E112" t="s">
        <v>710</v>
      </c>
      <c r="F112" t="s">
        <v>725</v>
      </c>
      <c r="G112" t="s">
        <v>730</v>
      </c>
      <c r="H112" t="s">
        <v>721</v>
      </c>
    </row>
    <row r="113" spans="1:9" x14ac:dyDescent="0.25">
      <c r="A113" t="s">
        <v>1099</v>
      </c>
      <c r="B113" t="str">
        <f t="shared" si="3"/>
        <v>[[Ray of Sickness]]</v>
      </c>
      <c r="C113">
        <v>1</v>
      </c>
      <c r="D113" t="s">
        <v>735</v>
      </c>
      <c r="E113" t="s">
        <v>710</v>
      </c>
      <c r="F113" t="s">
        <v>725</v>
      </c>
      <c r="G113" t="s">
        <v>730</v>
      </c>
      <c r="H113" t="s">
        <v>721</v>
      </c>
    </row>
    <row r="114" spans="1:9" x14ac:dyDescent="0.25">
      <c r="A114" t="s">
        <v>1014</v>
      </c>
      <c r="B114" t="str">
        <f t="shared" si="3"/>
        <v>[[Reverse Gravity]]</v>
      </c>
      <c r="C114">
        <v>7</v>
      </c>
      <c r="D114" t="s">
        <v>718</v>
      </c>
      <c r="E114" t="s">
        <v>710</v>
      </c>
      <c r="F114" t="s">
        <v>786</v>
      </c>
      <c r="G114" t="s">
        <v>720</v>
      </c>
      <c r="H114" t="s">
        <v>713</v>
      </c>
      <c r="I114" t="s">
        <v>722</v>
      </c>
    </row>
    <row r="115" spans="1:9" x14ac:dyDescent="0.25">
      <c r="A115" t="s">
        <v>1100</v>
      </c>
      <c r="B115" t="str">
        <f t="shared" si="3"/>
        <v>[[Scorching Ray]]</v>
      </c>
      <c r="C115">
        <v>2</v>
      </c>
      <c r="D115" t="s">
        <v>777</v>
      </c>
      <c r="E115" t="s">
        <v>710</v>
      </c>
      <c r="F115" t="s">
        <v>719</v>
      </c>
      <c r="G115" t="s">
        <v>730</v>
      </c>
      <c r="H115" t="s">
        <v>721</v>
      </c>
    </row>
    <row r="116" spans="1:9" x14ac:dyDescent="0.25">
      <c r="A116" t="s">
        <v>867</v>
      </c>
      <c r="B116" t="str">
        <f t="shared" si="3"/>
        <v>[[See Invisibility]]</v>
      </c>
      <c r="C116">
        <v>2</v>
      </c>
      <c r="D116" t="s">
        <v>745</v>
      </c>
      <c r="E116" t="s">
        <v>710</v>
      </c>
      <c r="F116" t="s">
        <v>738</v>
      </c>
      <c r="G116" t="s">
        <v>724</v>
      </c>
      <c r="H116" t="s">
        <v>713</v>
      </c>
    </row>
    <row r="117" spans="1:9" x14ac:dyDescent="0.25">
      <c r="A117" t="s">
        <v>868</v>
      </c>
      <c r="B117" t="str">
        <f t="shared" si="3"/>
        <v>[[Seeming]]</v>
      </c>
      <c r="C117">
        <v>5</v>
      </c>
      <c r="D117" t="s">
        <v>751</v>
      </c>
      <c r="E117" t="s">
        <v>710</v>
      </c>
      <c r="F117" t="s">
        <v>711</v>
      </c>
      <c r="G117" t="s">
        <v>728</v>
      </c>
      <c r="H117" t="s">
        <v>721</v>
      </c>
    </row>
    <row r="118" spans="1:9" x14ac:dyDescent="0.25">
      <c r="A118" t="s">
        <v>871</v>
      </c>
      <c r="B118" t="str">
        <f t="shared" si="3"/>
        <v>[[Shatter]]</v>
      </c>
      <c r="C118">
        <v>2</v>
      </c>
      <c r="D118" t="s">
        <v>777</v>
      </c>
      <c r="E118" t="s">
        <v>710</v>
      </c>
      <c r="F118" t="s">
        <v>725</v>
      </c>
      <c r="G118" t="s">
        <v>730</v>
      </c>
      <c r="H118" t="s">
        <v>713</v>
      </c>
    </row>
    <row r="119" spans="1:9" x14ac:dyDescent="0.25">
      <c r="A119" t="s">
        <v>1101</v>
      </c>
      <c r="B119" t="str">
        <f t="shared" si="3"/>
        <v>[[Shield]]</v>
      </c>
      <c r="C119">
        <v>1</v>
      </c>
      <c r="D119" t="s">
        <v>737</v>
      </c>
      <c r="E119" t="s">
        <v>780</v>
      </c>
      <c r="F119" t="s">
        <v>738</v>
      </c>
      <c r="G119" t="s">
        <v>833</v>
      </c>
      <c r="H119" t="s">
        <v>721</v>
      </c>
    </row>
    <row r="120" spans="1:9" x14ac:dyDescent="0.25">
      <c r="A120" t="s">
        <v>1102</v>
      </c>
      <c r="B120" t="str">
        <f t="shared" si="3"/>
        <v>[[Shocking Grasp]]</v>
      </c>
      <c r="C120">
        <v>0</v>
      </c>
      <c r="D120" t="s">
        <v>777</v>
      </c>
      <c r="E120" t="s">
        <v>710</v>
      </c>
      <c r="F120" t="s">
        <v>729</v>
      </c>
      <c r="G120" t="s">
        <v>730</v>
      </c>
      <c r="H120" t="s">
        <v>721</v>
      </c>
    </row>
    <row r="121" spans="1:9" x14ac:dyDescent="0.25">
      <c r="A121" t="s">
        <v>873</v>
      </c>
      <c r="B121" t="str">
        <f t="shared" si="3"/>
        <v>[[Silent Image]]</v>
      </c>
      <c r="C121">
        <v>1</v>
      </c>
      <c r="D121" t="s">
        <v>751</v>
      </c>
      <c r="E121" t="s">
        <v>710</v>
      </c>
      <c r="F121" t="s">
        <v>725</v>
      </c>
      <c r="G121" t="s">
        <v>746</v>
      </c>
      <c r="H121" t="s">
        <v>713</v>
      </c>
      <c r="I121" t="s">
        <v>722</v>
      </c>
    </row>
    <row r="122" spans="1:9" x14ac:dyDescent="0.25">
      <c r="A122" t="s">
        <v>874</v>
      </c>
      <c r="B122" t="str">
        <f t="shared" si="3"/>
        <v>[[Sleep]]</v>
      </c>
      <c r="C122">
        <v>1</v>
      </c>
      <c r="D122" t="s">
        <v>709</v>
      </c>
      <c r="E122" t="s">
        <v>710</v>
      </c>
      <c r="F122" t="s">
        <v>725</v>
      </c>
      <c r="G122" t="s">
        <v>720</v>
      </c>
      <c r="H122" t="s">
        <v>713</v>
      </c>
      <c r="I122" t="s">
        <v>722</v>
      </c>
    </row>
    <row r="123" spans="1:9" x14ac:dyDescent="0.25">
      <c r="A123" t="s">
        <v>1017</v>
      </c>
      <c r="B123" t="str">
        <f t="shared" si="3"/>
        <v>[[Sleet Storm]]</v>
      </c>
      <c r="C123">
        <v>3</v>
      </c>
      <c r="D123" t="s">
        <v>749</v>
      </c>
      <c r="E123" t="s">
        <v>710</v>
      </c>
      <c r="F123" t="s">
        <v>733</v>
      </c>
      <c r="G123" t="s">
        <v>720</v>
      </c>
      <c r="H123" t="s">
        <v>713</v>
      </c>
      <c r="I123" t="s">
        <v>722</v>
      </c>
    </row>
    <row r="124" spans="1:9" x14ac:dyDescent="0.25">
      <c r="A124" t="s">
        <v>875</v>
      </c>
      <c r="B124" t="str">
        <f t="shared" si="3"/>
        <v>[[Slow]]</v>
      </c>
      <c r="C124">
        <v>3</v>
      </c>
      <c r="D124" t="s">
        <v>718</v>
      </c>
      <c r="E124" t="s">
        <v>710</v>
      </c>
      <c r="F124" t="s">
        <v>719</v>
      </c>
      <c r="G124" t="s">
        <v>720</v>
      </c>
      <c r="H124" t="s">
        <v>713</v>
      </c>
      <c r="I124" t="s">
        <v>722</v>
      </c>
    </row>
    <row r="125" spans="1:9" x14ac:dyDescent="0.25">
      <c r="A125" t="s">
        <v>1103</v>
      </c>
      <c r="B125" t="str">
        <f t="shared" si="3"/>
        <v>[[Sorcerous Burst]]</v>
      </c>
      <c r="C125">
        <v>0</v>
      </c>
      <c r="D125" t="s">
        <v>777</v>
      </c>
      <c r="E125" t="s">
        <v>710</v>
      </c>
      <c r="F125" t="s">
        <v>719</v>
      </c>
      <c r="G125" t="s">
        <v>730</v>
      </c>
      <c r="H125" t="s">
        <v>721</v>
      </c>
    </row>
    <row r="126" spans="1:9" x14ac:dyDescent="0.25">
      <c r="A126" t="s">
        <v>1104</v>
      </c>
      <c r="B126" t="str">
        <f t="shared" si="3"/>
        <v>[[Spider Climb]]</v>
      </c>
      <c r="C126">
        <v>2</v>
      </c>
      <c r="D126" t="s">
        <v>718</v>
      </c>
      <c r="E126" t="s">
        <v>710</v>
      </c>
      <c r="F126" t="s">
        <v>729</v>
      </c>
      <c r="G126" t="s">
        <v>724</v>
      </c>
      <c r="H126" t="s">
        <v>713</v>
      </c>
      <c r="I126" t="s">
        <v>722</v>
      </c>
    </row>
    <row r="127" spans="1:9" x14ac:dyDescent="0.25">
      <c r="A127" t="s">
        <v>880</v>
      </c>
      <c r="B127" t="str">
        <f t="shared" si="3"/>
        <v>[[Stinking Cloud]]</v>
      </c>
      <c r="C127">
        <v>3</v>
      </c>
      <c r="D127" t="s">
        <v>749</v>
      </c>
      <c r="E127" t="s">
        <v>710</v>
      </c>
      <c r="F127" t="s">
        <v>756</v>
      </c>
      <c r="G127" t="s">
        <v>720</v>
      </c>
      <c r="H127" t="s">
        <v>713</v>
      </c>
      <c r="I127" t="s">
        <v>722</v>
      </c>
    </row>
    <row r="128" spans="1:9" x14ac:dyDescent="0.25">
      <c r="A128" t="s">
        <v>1019</v>
      </c>
      <c r="B128" t="str">
        <f t="shared" si="3"/>
        <v>[[Stoneskin]]</v>
      </c>
      <c r="C128">
        <v>4</v>
      </c>
      <c r="D128" t="s">
        <v>718</v>
      </c>
      <c r="E128" t="s">
        <v>710</v>
      </c>
      <c r="F128" t="s">
        <v>729</v>
      </c>
      <c r="G128" t="s">
        <v>724</v>
      </c>
      <c r="H128" t="s">
        <v>713</v>
      </c>
      <c r="I128" t="s">
        <v>722</v>
      </c>
    </row>
    <row r="129" spans="1:9" x14ac:dyDescent="0.25">
      <c r="A129" t="s">
        <v>881</v>
      </c>
      <c r="B129" t="str">
        <f t="shared" ref="B129:B150" si="4">"[["&amp;A129&amp;"]]"</f>
        <v>[[Suggestion]]</v>
      </c>
      <c r="C129">
        <v>2</v>
      </c>
      <c r="D129" t="s">
        <v>709</v>
      </c>
      <c r="E129" t="s">
        <v>710</v>
      </c>
      <c r="F129" t="s">
        <v>711</v>
      </c>
      <c r="G129" t="s">
        <v>728</v>
      </c>
      <c r="H129" t="s">
        <v>781</v>
      </c>
      <c r="I129" t="s">
        <v>722</v>
      </c>
    </row>
    <row r="130" spans="1:9" x14ac:dyDescent="0.25">
      <c r="A130" t="s">
        <v>965</v>
      </c>
      <c r="B130" t="str">
        <f t="shared" si="4"/>
        <v>[[Sunbeam]]</v>
      </c>
      <c r="C130">
        <v>6</v>
      </c>
      <c r="D130" t="s">
        <v>777</v>
      </c>
      <c r="E130" t="s">
        <v>710</v>
      </c>
      <c r="F130" t="s">
        <v>738</v>
      </c>
      <c r="G130" t="s">
        <v>720</v>
      </c>
      <c r="H130" t="s">
        <v>713</v>
      </c>
      <c r="I130" t="s">
        <v>722</v>
      </c>
    </row>
    <row r="131" spans="1:9" x14ac:dyDescent="0.25">
      <c r="A131" t="s">
        <v>966</v>
      </c>
      <c r="B131" t="str">
        <f t="shared" si="4"/>
        <v>[[Sunburst]]</v>
      </c>
      <c r="C131">
        <v>8</v>
      </c>
      <c r="D131" t="s">
        <v>777</v>
      </c>
      <c r="E131" t="s">
        <v>710</v>
      </c>
      <c r="F131" t="s">
        <v>733</v>
      </c>
      <c r="G131" t="s">
        <v>730</v>
      </c>
      <c r="H131" t="s">
        <v>713</v>
      </c>
    </row>
    <row r="132" spans="1:9" x14ac:dyDescent="0.25">
      <c r="A132" t="s">
        <v>883</v>
      </c>
      <c r="B132" t="str">
        <f t="shared" si="4"/>
        <v>[[Synaptic Static]]</v>
      </c>
      <c r="C132">
        <v>5</v>
      </c>
      <c r="D132" t="s">
        <v>709</v>
      </c>
      <c r="E132" t="s">
        <v>710</v>
      </c>
      <c r="F132" t="s">
        <v>719</v>
      </c>
      <c r="G132" t="s">
        <v>730</v>
      </c>
      <c r="H132" t="s">
        <v>721</v>
      </c>
    </row>
    <row r="133" spans="1:9" x14ac:dyDescent="0.25">
      <c r="A133" t="s">
        <v>1105</v>
      </c>
      <c r="B133" t="str">
        <f t="shared" si="4"/>
        <v>[[Telekinesis]]</v>
      </c>
      <c r="C133">
        <v>5</v>
      </c>
      <c r="D133" t="s">
        <v>718</v>
      </c>
      <c r="E133" t="s">
        <v>710</v>
      </c>
      <c r="F133" t="s">
        <v>725</v>
      </c>
      <c r="G133" t="s">
        <v>746</v>
      </c>
      <c r="H133" t="s">
        <v>721</v>
      </c>
      <c r="I133" t="s">
        <v>722</v>
      </c>
    </row>
    <row r="134" spans="1:9" x14ac:dyDescent="0.25">
      <c r="A134" t="s">
        <v>885</v>
      </c>
      <c r="B134" t="str">
        <f t="shared" si="4"/>
        <v>[[Teleport]]</v>
      </c>
      <c r="C134">
        <v>7</v>
      </c>
      <c r="D134" t="s">
        <v>749</v>
      </c>
      <c r="E134" t="s">
        <v>710</v>
      </c>
      <c r="F134" t="s">
        <v>791</v>
      </c>
      <c r="G134" t="s">
        <v>730</v>
      </c>
      <c r="H134" t="s">
        <v>740</v>
      </c>
    </row>
    <row r="135" spans="1:9" x14ac:dyDescent="0.25">
      <c r="A135" t="s">
        <v>886</v>
      </c>
      <c r="B135" t="str">
        <f t="shared" si="4"/>
        <v>[[Teleportation Circle]]</v>
      </c>
      <c r="C135">
        <v>5</v>
      </c>
      <c r="D135" t="s">
        <v>749</v>
      </c>
      <c r="E135" t="s">
        <v>720</v>
      </c>
      <c r="F135" t="s">
        <v>791</v>
      </c>
      <c r="G135" t="s">
        <v>833</v>
      </c>
      <c r="H135" t="s">
        <v>781</v>
      </c>
    </row>
    <row r="136" spans="1:9" x14ac:dyDescent="0.25">
      <c r="A136" t="s">
        <v>887</v>
      </c>
      <c r="B136" t="str">
        <f t="shared" si="4"/>
        <v>[[Thunderclap]]</v>
      </c>
      <c r="C136">
        <v>0</v>
      </c>
      <c r="D136" t="s">
        <v>777</v>
      </c>
      <c r="E136" t="s">
        <v>710</v>
      </c>
      <c r="F136" t="s">
        <v>738</v>
      </c>
      <c r="G136" t="s">
        <v>730</v>
      </c>
      <c r="H136" t="s">
        <v>840</v>
      </c>
    </row>
    <row r="137" spans="1:9" x14ac:dyDescent="0.25">
      <c r="A137" t="s">
        <v>888</v>
      </c>
      <c r="B137" t="str">
        <f t="shared" si="4"/>
        <v>[[Thunderwave]]</v>
      </c>
      <c r="C137">
        <v>1</v>
      </c>
      <c r="D137" t="s">
        <v>777</v>
      </c>
      <c r="E137" t="s">
        <v>710</v>
      </c>
      <c r="F137" t="s">
        <v>738</v>
      </c>
      <c r="G137" t="s">
        <v>730</v>
      </c>
      <c r="H137" t="s">
        <v>721</v>
      </c>
    </row>
    <row r="138" spans="1:9" x14ac:dyDescent="0.25">
      <c r="A138" t="s">
        <v>1106</v>
      </c>
      <c r="B138" t="str">
        <f t="shared" si="4"/>
        <v>[[Time Stop]]</v>
      </c>
      <c r="C138">
        <v>9</v>
      </c>
      <c r="D138" t="s">
        <v>718</v>
      </c>
      <c r="E138" t="s">
        <v>710</v>
      </c>
      <c r="F138" t="s">
        <v>738</v>
      </c>
      <c r="G138" t="s">
        <v>730</v>
      </c>
      <c r="H138" t="s">
        <v>740</v>
      </c>
    </row>
    <row r="139" spans="1:9" x14ac:dyDescent="0.25">
      <c r="A139" t="s">
        <v>889</v>
      </c>
      <c r="B139" t="str">
        <f t="shared" si="4"/>
        <v>[[Tongues]]</v>
      </c>
      <c r="C139">
        <v>3</v>
      </c>
      <c r="D139" t="s">
        <v>745</v>
      </c>
      <c r="E139" t="s">
        <v>710</v>
      </c>
      <c r="F139" t="s">
        <v>729</v>
      </c>
      <c r="G139" t="s">
        <v>724</v>
      </c>
      <c r="H139" t="s">
        <v>781</v>
      </c>
    </row>
    <row r="140" spans="1:9" x14ac:dyDescent="0.25">
      <c r="A140" t="s">
        <v>891</v>
      </c>
      <c r="B140" t="str">
        <f t="shared" si="4"/>
        <v>[[True Seeing]]</v>
      </c>
      <c r="C140">
        <v>6</v>
      </c>
      <c r="D140" t="s">
        <v>745</v>
      </c>
      <c r="E140" t="s">
        <v>710</v>
      </c>
      <c r="F140" t="s">
        <v>729</v>
      </c>
      <c r="G140" t="s">
        <v>724</v>
      </c>
      <c r="H140" t="s">
        <v>713</v>
      </c>
    </row>
    <row r="141" spans="1:9" x14ac:dyDescent="0.25">
      <c r="A141" t="s">
        <v>892</v>
      </c>
      <c r="B141" t="str">
        <f t="shared" si="4"/>
        <v>[[True Strike]]</v>
      </c>
      <c r="C141">
        <v>0</v>
      </c>
      <c r="D141" t="s">
        <v>745</v>
      </c>
      <c r="E141" t="s">
        <v>710</v>
      </c>
      <c r="F141" t="s">
        <v>738</v>
      </c>
      <c r="G141" t="s">
        <v>730</v>
      </c>
      <c r="H141" t="s">
        <v>792</v>
      </c>
    </row>
    <row r="142" spans="1:9" x14ac:dyDescent="0.25">
      <c r="A142" t="s">
        <v>1107</v>
      </c>
      <c r="B142" t="str">
        <f t="shared" si="4"/>
        <v>[[Vampiric Touch]]</v>
      </c>
      <c r="C142">
        <v>3</v>
      </c>
      <c r="D142" t="s">
        <v>735</v>
      </c>
      <c r="E142" t="s">
        <v>710</v>
      </c>
      <c r="F142" t="s">
        <v>738</v>
      </c>
      <c r="G142" t="s">
        <v>720</v>
      </c>
      <c r="H142" t="s">
        <v>721</v>
      </c>
      <c r="I142" t="s">
        <v>722</v>
      </c>
    </row>
    <row r="143" spans="1:9" x14ac:dyDescent="0.25">
      <c r="A143" t="s">
        <v>1108</v>
      </c>
      <c r="B143" t="str">
        <f t="shared" si="4"/>
        <v>[[Vitriolic Sphere]]</v>
      </c>
      <c r="C143">
        <v>4</v>
      </c>
      <c r="D143" t="s">
        <v>777</v>
      </c>
      <c r="E143" t="s">
        <v>710</v>
      </c>
      <c r="F143" t="s">
        <v>733</v>
      </c>
      <c r="G143" t="s">
        <v>730</v>
      </c>
      <c r="H143" t="s">
        <v>713</v>
      </c>
    </row>
    <row r="144" spans="1:9" x14ac:dyDescent="0.25">
      <c r="A144" t="s">
        <v>1029</v>
      </c>
      <c r="B144" t="str">
        <f t="shared" si="4"/>
        <v>[[Wall of Fire]]</v>
      </c>
      <c r="C144">
        <v>4</v>
      </c>
      <c r="D144" t="s">
        <v>777</v>
      </c>
      <c r="E144" t="s">
        <v>710</v>
      </c>
      <c r="F144" t="s">
        <v>719</v>
      </c>
      <c r="G144" t="s">
        <v>720</v>
      </c>
      <c r="H144" t="s">
        <v>713</v>
      </c>
      <c r="I144" t="s">
        <v>722</v>
      </c>
    </row>
    <row r="145" spans="1:10" x14ac:dyDescent="0.25">
      <c r="A145" t="s">
        <v>1030</v>
      </c>
      <c r="B145" t="str">
        <f t="shared" si="4"/>
        <v>[[Wall of Stone]]</v>
      </c>
      <c r="C145">
        <v>5</v>
      </c>
      <c r="D145" t="s">
        <v>777</v>
      </c>
      <c r="E145" t="s">
        <v>710</v>
      </c>
      <c r="F145" t="s">
        <v>719</v>
      </c>
      <c r="G145" t="s">
        <v>746</v>
      </c>
      <c r="H145" t="s">
        <v>713</v>
      </c>
      <c r="I145" t="s">
        <v>722</v>
      </c>
    </row>
    <row r="146" spans="1:10" x14ac:dyDescent="0.25">
      <c r="A146" t="s">
        <v>1032</v>
      </c>
      <c r="B146" t="str">
        <f t="shared" si="4"/>
        <v>[[Water Breathing]]</v>
      </c>
      <c r="C146">
        <v>3</v>
      </c>
      <c r="D146" t="s">
        <v>718</v>
      </c>
      <c r="E146" t="s">
        <v>715</v>
      </c>
      <c r="F146" t="s">
        <v>711</v>
      </c>
      <c r="G146" t="s">
        <v>712</v>
      </c>
      <c r="H146" t="s">
        <v>713</v>
      </c>
      <c r="J146" t="s">
        <v>716</v>
      </c>
    </row>
    <row r="147" spans="1:10" x14ac:dyDescent="0.25">
      <c r="A147" t="s">
        <v>971</v>
      </c>
      <c r="B147" t="str">
        <f t="shared" si="4"/>
        <v>[[Water Walk]]</v>
      </c>
      <c r="C147">
        <v>3</v>
      </c>
      <c r="D147" t="s">
        <v>718</v>
      </c>
      <c r="E147" t="s">
        <v>715</v>
      </c>
      <c r="F147" t="s">
        <v>711</v>
      </c>
      <c r="G147" t="s">
        <v>724</v>
      </c>
      <c r="H147" t="s">
        <v>713</v>
      </c>
      <c r="J147" t="s">
        <v>716</v>
      </c>
    </row>
    <row r="148" spans="1:10" x14ac:dyDescent="0.25">
      <c r="A148" t="s">
        <v>1109</v>
      </c>
      <c r="B148" t="str">
        <f t="shared" si="4"/>
        <v>[[Web]]</v>
      </c>
      <c r="C148">
        <v>2</v>
      </c>
      <c r="D148" t="s">
        <v>749</v>
      </c>
      <c r="E148" t="s">
        <v>710</v>
      </c>
      <c r="F148" t="s">
        <v>725</v>
      </c>
      <c r="G148" t="s">
        <v>724</v>
      </c>
      <c r="H148" t="s">
        <v>713</v>
      </c>
      <c r="I148" t="s">
        <v>722</v>
      </c>
    </row>
    <row r="149" spans="1:10" x14ac:dyDescent="0.25">
      <c r="A149" t="s">
        <v>1110</v>
      </c>
      <c r="B149" t="str">
        <f t="shared" si="4"/>
        <v>[[Wish]]</v>
      </c>
      <c r="C149">
        <v>9</v>
      </c>
      <c r="D149" t="s">
        <v>749</v>
      </c>
      <c r="E149" t="s">
        <v>710</v>
      </c>
      <c r="F149" t="s">
        <v>738</v>
      </c>
      <c r="G149" t="s">
        <v>730</v>
      </c>
      <c r="H149" t="s">
        <v>740</v>
      </c>
    </row>
    <row r="150" spans="1:10" x14ac:dyDescent="0.25">
      <c r="A150" t="s">
        <v>1111</v>
      </c>
      <c r="B150" t="str">
        <f t="shared" si="4"/>
        <v>[[Witch Bolt]]</v>
      </c>
      <c r="C150">
        <v>1</v>
      </c>
      <c r="D150" t="s">
        <v>777</v>
      </c>
      <c r="E150" t="s">
        <v>710</v>
      </c>
      <c r="F150" t="s">
        <v>725</v>
      </c>
      <c r="G150" t="s">
        <v>720</v>
      </c>
      <c r="H150" t="s">
        <v>713</v>
      </c>
      <c r="I150" t="s">
        <v>722</v>
      </c>
    </row>
  </sheetData>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929E-394B-48FA-86AF-1D252A109E16}">
  <sheetPr codeName="Sheet8"/>
  <dimension ref="A1:J91"/>
  <sheetViews>
    <sheetView topLeftCell="A68" workbookViewId="0">
      <selection activeCell="B1" sqref="B1:I91"/>
    </sheetView>
  </sheetViews>
  <sheetFormatPr defaultRowHeight="15" x14ac:dyDescent="0.25"/>
  <sheetData>
    <row r="1" spans="1:10" x14ac:dyDescent="0.25">
      <c r="A1" t="s">
        <v>1061</v>
      </c>
      <c r="B1" t="str">
        <f t="shared" ref="B1:B32" si="0">"[["&amp;A1&amp;"]]"</f>
        <v>[[Arcane Gate]]</v>
      </c>
      <c r="C1">
        <v>6</v>
      </c>
      <c r="D1" t="s">
        <v>749</v>
      </c>
      <c r="E1" t="s">
        <v>710</v>
      </c>
      <c r="F1" t="s">
        <v>763</v>
      </c>
      <c r="G1" t="s">
        <v>746</v>
      </c>
      <c r="H1" t="s">
        <v>721</v>
      </c>
      <c r="I1" t="s">
        <v>722</v>
      </c>
    </row>
    <row r="2" spans="1:10" x14ac:dyDescent="0.25">
      <c r="A2" t="s">
        <v>1112</v>
      </c>
      <c r="B2" t="str">
        <f t="shared" si="0"/>
        <v>[[Armor of Agathys]]</v>
      </c>
      <c r="C2">
        <v>1</v>
      </c>
      <c r="D2" t="s">
        <v>737</v>
      </c>
      <c r="E2" t="s">
        <v>804</v>
      </c>
      <c r="F2" t="s">
        <v>738</v>
      </c>
      <c r="G2" t="s">
        <v>724</v>
      </c>
      <c r="H2" t="s">
        <v>713</v>
      </c>
    </row>
    <row r="3" spans="1:10" x14ac:dyDescent="0.25">
      <c r="A3" t="s">
        <v>1113</v>
      </c>
      <c r="B3" t="str">
        <f t="shared" si="0"/>
        <v>[[Arms of Hadar]]</v>
      </c>
      <c r="C3">
        <v>1</v>
      </c>
      <c r="D3" t="s">
        <v>749</v>
      </c>
      <c r="E3" t="s">
        <v>710</v>
      </c>
      <c r="F3" t="s">
        <v>738</v>
      </c>
      <c r="G3" t="s">
        <v>730</v>
      </c>
      <c r="H3" t="s">
        <v>721</v>
      </c>
    </row>
    <row r="4" spans="1:10" x14ac:dyDescent="0.25">
      <c r="A4" t="s">
        <v>899</v>
      </c>
      <c r="B4" t="str">
        <f t="shared" si="0"/>
        <v>[[Astral Projection]]</v>
      </c>
      <c r="C4">
        <v>9</v>
      </c>
      <c r="D4" t="s">
        <v>735</v>
      </c>
      <c r="E4" t="s">
        <v>724</v>
      </c>
      <c r="F4" t="s">
        <v>791</v>
      </c>
      <c r="G4" t="s">
        <v>826</v>
      </c>
      <c r="H4" t="s">
        <v>713</v>
      </c>
    </row>
    <row r="5" spans="1:10" x14ac:dyDescent="0.25">
      <c r="A5" t="s">
        <v>731</v>
      </c>
      <c r="B5" t="str">
        <f t="shared" si="0"/>
        <v>[[Bane]]</v>
      </c>
      <c r="C5">
        <v>1</v>
      </c>
      <c r="D5" t="s">
        <v>709</v>
      </c>
      <c r="E5" t="s">
        <v>710</v>
      </c>
      <c r="F5" t="s">
        <v>711</v>
      </c>
      <c r="G5" t="s">
        <v>720</v>
      </c>
      <c r="H5" t="s">
        <v>713</v>
      </c>
      <c r="I5" t="s">
        <v>722</v>
      </c>
    </row>
    <row r="6" spans="1:10" x14ac:dyDescent="0.25">
      <c r="A6" t="s">
        <v>904</v>
      </c>
      <c r="B6" t="str">
        <f t="shared" si="0"/>
        <v>[[Banishment]]</v>
      </c>
      <c r="C6">
        <v>4</v>
      </c>
      <c r="D6" t="s">
        <v>737</v>
      </c>
      <c r="E6" t="s">
        <v>710</v>
      </c>
      <c r="F6" t="s">
        <v>711</v>
      </c>
      <c r="G6" t="s">
        <v>720</v>
      </c>
      <c r="H6" t="s">
        <v>713</v>
      </c>
      <c r="I6" t="s">
        <v>722</v>
      </c>
    </row>
    <row r="7" spans="1:10" x14ac:dyDescent="0.25">
      <c r="A7" t="s">
        <v>732</v>
      </c>
      <c r="B7" t="str">
        <f t="shared" si="0"/>
        <v>[[Befuddlement]]</v>
      </c>
      <c r="C7">
        <v>8</v>
      </c>
      <c r="D7" t="s">
        <v>709</v>
      </c>
      <c r="E7" t="s">
        <v>710</v>
      </c>
      <c r="F7" t="s">
        <v>733</v>
      </c>
      <c r="G7" t="s">
        <v>730</v>
      </c>
      <c r="H7" t="s">
        <v>713</v>
      </c>
    </row>
    <row r="8" spans="1:10" x14ac:dyDescent="0.25">
      <c r="A8" t="s">
        <v>736</v>
      </c>
      <c r="B8" t="str">
        <f t="shared" si="0"/>
        <v>[[Blade Ward]]</v>
      </c>
      <c r="C8">
        <v>0</v>
      </c>
      <c r="D8" t="s">
        <v>737</v>
      </c>
      <c r="E8" t="s">
        <v>710</v>
      </c>
      <c r="F8" t="s">
        <v>738</v>
      </c>
      <c r="G8" t="s">
        <v>720</v>
      </c>
      <c r="H8" t="s">
        <v>721</v>
      </c>
      <c r="I8" t="s">
        <v>722</v>
      </c>
    </row>
    <row r="9" spans="1:10" x14ac:dyDescent="0.25">
      <c r="A9" t="s">
        <v>979</v>
      </c>
      <c r="B9" t="str">
        <f t="shared" si="0"/>
        <v>[[Blight]]</v>
      </c>
      <c r="C9">
        <v>4</v>
      </c>
      <c r="D9" t="s">
        <v>735</v>
      </c>
      <c r="E9" t="s">
        <v>710</v>
      </c>
      <c r="F9" t="s">
        <v>711</v>
      </c>
      <c r="G9" t="s">
        <v>730</v>
      </c>
      <c r="H9" t="s">
        <v>721</v>
      </c>
    </row>
    <row r="10" spans="1:10" x14ac:dyDescent="0.25">
      <c r="A10" t="s">
        <v>742</v>
      </c>
      <c r="B10" t="str">
        <f t="shared" si="0"/>
        <v>[[Charm Monster]]</v>
      </c>
      <c r="C10">
        <v>4</v>
      </c>
      <c r="D10" t="s">
        <v>709</v>
      </c>
      <c r="E10" t="s">
        <v>710</v>
      </c>
      <c r="F10" t="s">
        <v>711</v>
      </c>
      <c r="G10" t="s">
        <v>724</v>
      </c>
      <c r="H10" t="s">
        <v>721</v>
      </c>
    </row>
    <row r="11" spans="1:10" x14ac:dyDescent="0.25">
      <c r="A11" t="s">
        <v>743</v>
      </c>
      <c r="B11" t="str">
        <f t="shared" si="0"/>
        <v>[[Charm Person]]</v>
      </c>
      <c r="C11">
        <v>1</v>
      </c>
      <c r="D11" t="s">
        <v>709</v>
      </c>
      <c r="E11" t="s">
        <v>710</v>
      </c>
      <c r="F11" t="s">
        <v>711</v>
      </c>
      <c r="G11" t="s">
        <v>724</v>
      </c>
      <c r="H11" t="s">
        <v>721</v>
      </c>
    </row>
    <row r="12" spans="1:10" x14ac:dyDescent="0.25">
      <c r="A12" t="s">
        <v>1068</v>
      </c>
      <c r="B12" t="str">
        <f t="shared" si="0"/>
        <v>[[Chill Touch]]</v>
      </c>
      <c r="C12">
        <v>0</v>
      </c>
      <c r="D12" t="s">
        <v>735</v>
      </c>
      <c r="E12" t="s">
        <v>710</v>
      </c>
      <c r="F12" t="s">
        <v>729</v>
      </c>
      <c r="G12" t="s">
        <v>730</v>
      </c>
      <c r="H12" t="s">
        <v>721</v>
      </c>
    </row>
    <row r="13" spans="1:10" x14ac:dyDescent="0.25">
      <c r="A13" t="s">
        <v>1070</v>
      </c>
      <c r="B13" t="str">
        <f t="shared" si="0"/>
        <v>[[Circle of Death]]</v>
      </c>
      <c r="C13">
        <v>6</v>
      </c>
      <c r="D13" t="s">
        <v>735</v>
      </c>
      <c r="E13" t="s">
        <v>710</v>
      </c>
      <c r="F13" t="s">
        <v>733</v>
      </c>
      <c r="G13" t="s">
        <v>730</v>
      </c>
      <c r="H13" t="s">
        <v>713</v>
      </c>
    </row>
    <row r="14" spans="1:10" x14ac:dyDescent="0.25">
      <c r="A14" t="s">
        <v>748</v>
      </c>
      <c r="B14" t="str">
        <f t="shared" si="0"/>
        <v>[[Cloud of Daggers]]</v>
      </c>
      <c r="C14">
        <v>2</v>
      </c>
      <c r="D14" t="s">
        <v>749</v>
      </c>
      <c r="E14" t="s">
        <v>710</v>
      </c>
      <c r="F14" t="s">
        <v>725</v>
      </c>
      <c r="G14" t="s">
        <v>720</v>
      </c>
      <c r="H14" t="s">
        <v>713</v>
      </c>
      <c r="I14" t="s">
        <v>722</v>
      </c>
    </row>
    <row r="15" spans="1:10" x14ac:dyDescent="0.25">
      <c r="A15" t="s">
        <v>753</v>
      </c>
      <c r="B15" t="str">
        <f t="shared" si="0"/>
        <v>[[Comprehend Languages]]</v>
      </c>
      <c r="C15">
        <v>1</v>
      </c>
      <c r="D15" t="s">
        <v>745</v>
      </c>
      <c r="E15" t="s">
        <v>715</v>
      </c>
      <c r="F15" t="s">
        <v>738</v>
      </c>
      <c r="G15" t="s">
        <v>724</v>
      </c>
      <c r="H15" t="s">
        <v>713</v>
      </c>
      <c r="J15" t="s">
        <v>716</v>
      </c>
    </row>
    <row r="16" spans="1:10" x14ac:dyDescent="0.25">
      <c r="A16" t="s">
        <v>1114</v>
      </c>
      <c r="B16" t="str">
        <f t="shared" si="0"/>
        <v>[[Contact Other Plane]]</v>
      </c>
      <c r="C16">
        <v>5</v>
      </c>
      <c r="D16" t="s">
        <v>745</v>
      </c>
      <c r="E16" t="s">
        <v>812</v>
      </c>
      <c r="F16" t="s">
        <v>738</v>
      </c>
      <c r="G16" t="s">
        <v>720</v>
      </c>
      <c r="H16" t="s">
        <v>740</v>
      </c>
      <c r="J16" t="s">
        <v>716</v>
      </c>
    </row>
    <row r="17" spans="1:10" x14ac:dyDescent="0.25">
      <c r="A17" t="s">
        <v>1072</v>
      </c>
      <c r="B17" t="str">
        <f t="shared" si="0"/>
        <v>[[Counterspell]]</v>
      </c>
      <c r="C17">
        <v>3</v>
      </c>
      <c r="D17" t="s">
        <v>737</v>
      </c>
      <c r="E17" t="s">
        <v>780</v>
      </c>
      <c r="F17" t="s">
        <v>725</v>
      </c>
      <c r="G17" t="s">
        <v>730</v>
      </c>
      <c r="H17" t="s">
        <v>840</v>
      </c>
    </row>
    <row r="18" spans="1:10" x14ac:dyDescent="0.25">
      <c r="A18" t="s">
        <v>918</v>
      </c>
      <c r="B18" t="str">
        <f t="shared" si="0"/>
        <v>[[Create Undead]]</v>
      </c>
      <c r="C18">
        <v>6</v>
      </c>
      <c r="D18" t="s">
        <v>735</v>
      </c>
      <c r="E18" t="s">
        <v>720</v>
      </c>
      <c r="F18" t="s">
        <v>791</v>
      </c>
      <c r="G18" t="s">
        <v>730</v>
      </c>
      <c r="H18" t="s">
        <v>713</v>
      </c>
    </row>
    <row r="19" spans="1:10" x14ac:dyDescent="0.25">
      <c r="A19" t="s">
        <v>757</v>
      </c>
      <c r="B19" t="str">
        <f t="shared" si="0"/>
        <v>[[Crown of Madness]]</v>
      </c>
      <c r="C19">
        <v>2</v>
      </c>
      <c r="D19" t="s">
        <v>709</v>
      </c>
      <c r="E19" t="s">
        <v>710</v>
      </c>
      <c r="F19" t="s">
        <v>719</v>
      </c>
      <c r="G19" t="s">
        <v>720</v>
      </c>
      <c r="H19" t="s">
        <v>721</v>
      </c>
      <c r="I19" t="s">
        <v>722</v>
      </c>
    </row>
    <row r="20" spans="1:10" x14ac:dyDescent="0.25">
      <c r="A20" t="s">
        <v>1074</v>
      </c>
      <c r="B20" t="str">
        <f t="shared" si="0"/>
        <v>[[Darkness]]</v>
      </c>
      <c r="C20">
        <v>2</v>
      </c>
      <c r="D20" t="s">
        <v>777</v>
      </c>
      <c r="E20" t="s">
        <v>710</v>
      </c>
      <c r="F20" t="s">
        <v>725</v>
      </c>
      <c r="G20" t="s">
        <v>746</v>
      </c>
      <c r="H20" t="s">
        <v>781</v>
      </c>
      <c r="I20" t="s">
        <v>722</v>
      </c>
    </row>
    <row r="21" spans="1:10" x14ac:dyDescent="0.25">
      <c r="A21" t="s">
        <v>1076</v>
      </c>
      <c r="B21" t="str">
        <f t="shared" si="0"/>
        <v>[[Demiplane]]</v>
      </c>
      <c r="C21">
        <v>8</v>
      </c>
      <c r="D21" t="s">
        <v>749</v>
      </c>
      <c r="E21" t="s">
        <v>710</v>
      </c>
      <c r="F21" t="s">
        <v>725</v>
      </c>
      <c r="G21" t="s">
        <v>724</v>
      </c>
      <c r="H21" t="s">
        <v>840</v>
      </c>
    </row>
    <row r="22" spans="1:10" x14ac:dyDescent="0.25">
      <c r="A22" t="s">
        <v>760</v>
      </c>
      <c r="B22" t="str">
        <f t="shared" si="0"/>
        <v>[[Detect Magic]]</v>
      </c>
      <c r="C22">
        <v>1</v>
      </c>
      <c r="D22" t="s">
        <v>745</v>
      </c>
      <c r="E22" t="s">
        <v>715</v>
      </c>
      <c r="F22" t="s">
        <v>738</v>
      </c>
      <c r="G22" t="s">
        <v>746</v>
      </c>
      <c r="H22" t="s">
        <v>721</v>
      </c>
      <c r="I22" t="s">
        <v>722</v>
      </c>
      <c r="J22" t="s">
        <v>716</v>
      </c>
    </row>
    <row r="23" spans="1:10" x14ac:dyDescent="0.25">
      <c r="A23" t="s">
        <v>762</v>
      </c>
      <c r="B23" t="str">
        <f t="shared" si="0"/>
        <v>[[Dimension Door]]</v>
      </c>
      <c r="C23">
        <v>4</v>
      </c>
      <c r="D23" t="s">
        <v>749</v>
      </c>
      <c r="E23" t="s">
        <v>710</v>
      </c>
      <c r="F23" t="s">
        <v>763</v>
      </c>
      <c r="G23" t="s">
        <v>730</v>
      </c>
      <c r="H23" t="s">
        <v>740</v>
      </c>
    </row>
    <row r="24" spans="1:10" x14ac:dyDescent="0.25">
      <c r="A24" t="s">
        <v>765</v>
      </c>
      <c r="B24" t="str">
        <f t="shared" si="0"/>
        <v>[[Dispel Magic]]</v>
      </c>
      <c r="C24">
        <v>3</v>
      </c>
      <c r="D24" t="s">
        <v>737</v>
      </c>
      <c r="E24" t="s">
        <v>710</v>
      </c>
      <c r="F24" t="s">
        <v>719</v>
      </c>
      <c r="G24" t="s">
        <v>730</v>
      </c>
      <c r="H24" t="s">
        <v>721</v>
      </c>
    </row>
    <row r="25" spans="1:10" x14ac:dyDescent="0.25">
      <c r="A25" t="s">
        <v>767</v>
      </c>
      <c r="B25" t="str">
        <f t="shared" si="0"/>
        <v>[[Dominate Monster]]</v>
      </c>
      <c r="C25">
        <v>8</v>
      </c>
      <c r="D25" t="s">
        <v>709</v>
      </c>
      <c r="E25" t="s">
        <v>710</v>
      </c>
      <c r="F25" t="s">
        <v>725</v>
      </c>
      <c r="G25" t="s">
        <v>724</v>
      </c>
      <c r="H25" t="s">
        <v>721</v>
      </c>
      <c r="I25" t="s">
        <v>722</v>
      </c>
    </row>
    <row r="26" spans="1:10" x14ac:dyDescent="0.25">
      <c r="A26" t="s">
        <v>769</v>
      </c>
      <c r="B26" t="str">
        <f t="shared" si="0"/>
        <v>[[Dream]]</v>
      </c>
      <c r="C26">
        <v>5</v>
      </c>
      <c r="D26" t="s">
        <v>751</v>
      </c>
      <c r="E26" t="s">
        <v>720</v>
      </c>
      <c r="F26" t="s">
        <v>770</v>
      </c>
      <c r="G26" t="s">
        <v>728</v>
      </c>
      <c r="H26" t="s">
        <v>713</v>
      </c>
    </row>
    <row r="27" spans="1:10" x14ac:dyDescent="0.25">
      <c r="A27" t="s">
        <v>1115</v>
      </c>
      <c r="B27" t="str">
        <f t="shared" si="0"/>
        <v>[[Eldritch Blast]]</v>
      </c>
      <c r="C27">
        <v>0</v>
      </c>
      <c r="D27" t="s">
        <v>777</v>
      </c>
      <c r="E27" t="s">
        <v>710</v>
      </c>
      <c r="F27" t="s">
        <v>719</v>
      </c>
      <c r="G27" t="s">
        <v>730</v>
      </c>
      <c r="H27" t="s">
        <v>721</v>
      </c>
    </row>
    <row r="28" spans="1:10" x14ac:dyDescent="0.25">
      <c r="A28" t="s">
        <v>773</v>
      </c>
      <c r="B28" t="str">
        <f t="shared" si="0"/>
        <v>[[Enthrall]]</v>
      </c>
      <c r="C28">
        <v>2</v>
      </c>
      <c r="D28" t="s">
        <v>709</v>
      </c>
      <c r="E28" t="s">
        <v>710</v>
      </c>
      <c r="F28" t="s">
        <v>725</v>
      </c>
      <c r="G28" t="s">
        <v>720</v>
      </c>
      <c r="H28" t="s">
        <v>721</v>
      </c>
      <c r="I28" t="s">
        <v>722</v>
      </c>
    </row>
    <row r="29" spans="1:10" x14ac:dyDescent="0.25">
      <c r="A29" t="s">
        <v>774</v>
      </c>
      <c r="B29" t="str">
        <f t="shared" si="0"/>
        <v>[[Etherealness]]</v>
      </c>
      <c r="C29">
        <v>7</v>
      </c>
      <c r="D29" t="s">
        <v>749</v>
      </c>
      <c r="E29" t="s">
        <v>710</v>
      </c>
      <c r="F29" t="s">
        <v>738</v>
      </c>
      <c r="G29" t="s">
        <v>728</v>
      </c>
      <c r="H29" t="s">
        <v>721</v>
      </c>
    </row>
    <row r="30" spans="1:10" x14ac:dyDescent="0.25">
      <c r="A30" t="s">
        <v>1079</v>
      </c>
      <c r="B30" t="str">
        <f t="shared" si="0"/>
        <v>[[Expeditious Retreat]]</v>
      </c>
      <c r="C30">
        <v>1</v>
      </c>
      <c r="D30" t="s">
        <v>718</v>
      </c>
      <c r="E30" t="s">
        <v>804</v>
      </c>
      <c r="F30" t="s">
        <v>738</v>
      </c>
      <c r="G30" t="s">
        <v>746</v>
      </c>
      <c r="H30" t="s">
        <v>721</v>
      </c>
      <c r="I30" t="s">
        <v>722</v>
      </c>
    </row>
    <row r="31" spans="1:10" x14ac:dyDescent="0.25">
      <c r="A31" t="s">
        <v>775</v>
      </c>
      <c r="B31" t="str">
        <f t="shared" si="0"/>
        <v>[[Eyebite]]</v>
      </c>
      <c r="C31">
        <v>6</v>
      </c>
      <c r="D31" t="s">
        <v>735</v>
      </c>
      <c r="E31" t="s">
        <v>710</v>
      </c>
      <c r="F31" t="s">
        <v>738</v>
      </c>
      <c r="G31" t="s">
        <v>720</v>
      </c>
      <c r="H31" t="s">
        <v>721</v>
      </c>
      <c r="I31" t="s">
        <v>722</v>
      </c>
    </row>
    <row r="32" spans="1:10" x14ac:dyDescent="0.25">
      <c r="A32" t="s">
        <v>778</v>
      </c>
      <c r="B32" t="str">
        <f t="shared" si="0"/>
        <v>[[Fear]]</v>
      </c>
      <c r="C32">
        <v>3</v>
      </c>
      <c r="D32" t="s">
        <v>751</v>
      </c>
      <c r="E32" t="s">
        <v>710</v>
      </c>
      <c r="F32" t="s">
        <v>738</v>
      </c>
      <c r="G32" t="s">
        <v>720</v>
      </c>
      <c r="H32" t="s">
        <v>713</v>
      </c>
      <c r="I32" t="s">
        <v>722</v>
      </c>
    </row>
    <row r="33" spans="1:10" x14ac:dyDescent="0.25">
      <c r="A33" t="s">
        <v>1081</v>
      </c>
      <c r="B33" t="str">
        <f t="shared" ref="B33:B64" si="1">"[["&amp;A33&amp;"]]"</f>
        <v>[[Finger of Death]]</v>
      </c>
      <c r="C33">
        <v>7</v>
      </c>
      <c r="D33" t="s">
        <v>735</v>
      </c>
      <c r="E33" t="s">
        <v>710</v>
      </c>
      <c r="F33" t="s">
        <v>725</v>
      </c>
      <c r="G33" t="s">
        <v>730</v>
      </c>
      <c r="H33" t="s">
        <v>721</v>
      </c>
    </row>
    <row r="34" spans="1:10" x14ac:dyDescent="0.25">
      <c r="A34" t="s">
        <v>1084</v>
      </c>
      <c r="B34" t="str">
        <f t="shared" si="1"/>
        <v>[[Fly]]</v>
      </c>
      <c r="C34">
        <v>3</v>
      </c>
      <c r="D34" t="s">
        <v>718</v>
      </c>
      <c r="E34" t="s">
        <v>710</v>
      </c>
      <c r="F34" t="s">
        <v>729</v>
      </c>
      <c r="G34" t="s">
        <v>746</v>
      </c>
      <c r="H34" t="s">
        <v>713</v>
      </c>
      <c r="I34" t="s">
        <v>722</v>
      </c>
    </row>
    <row r="35" spans="1:10" x14ac:dyDescent="0.25">
      <c r="A35" t="s">
        <v>785</v>
      </c>
      <c r="B35" t="str">
        <f t="shared" si="1"/>
        <v>[[Forcecage]]</v>
      </c>
      <c r="C35">
        <v>7</v>
      </c>
      <c r="D35" t="s">
        <v>777</v>
      </c>
      <c r="E35" t="s">
        <v>710</v>
      </c>
      <c r="F35" t="s">
        <v>786</v>
      </c>
      <c r="G35" t="s">
        <v>724</v>
      </c>
      <c r="H35" t="s">
        <v>713</v>
      </c>
    </row>
    <row r="36" spans="1:10" x14ac:dyDescent="0.25">
      <c r="A36" t="s">
        <v>787</v>
      </c>
      <c r="B36" t="str">
        <f t="shared" si="1"/>
        <v>[[Foresight]]</v>
      </c>
      <c r="C36">
        <v>9</v>
      </c>
      <c r="D36" t="s">
        <v>745</v>
      </c>
      <c r="E36" t="s">
        <v>720</v>
      </c>
      <c r="F36" t="s">
        <v>729</v>
      </c>
      <c r="G36" t="s">
        <v>728</v>
      </c>
      <c r="H36" t="s">
        <v>713</v>
      </c>
    </row>
    <row r="37" spans="1:10" x14ac:dyDescent="0.25">
      <c r="A37" t="s">
        <v>790</v>
      </c>
      <c r="B37" t="str">
        <f t="shared" si="1"/>
        <v>[[Friends]]</v>
      </c>
      <c r="C37">
        <v>0</v>
      </c>
      <c r="D37" t="s">
        <v>709</v>
      </c>
      <c r="E37" t="s">
        <v>710</v>
      </c>
      <c r="F37" t="s">
        <v>791</v>
      </c>
      <c r="G37" t="s">
        <v>720</v>
      </c>
      <c r="H37" t="s">
        <v>792</v>
      </c>
      <c r="I37" t="s">
        <v>722</v>
      </c>
    </row>
    <row r="38" spans="1:10" x14ac:dyDescent="0.25">
      <c r="A38" t="s">
        <v>1085</v>
      </c>
      <c r="B38" t="str">
        <f t="shared" si="1"/>
        <v>[[Gaseous Form]]</v>
      </c>
      <c r="C38">
        <v>3</v>
      </c>
      <c r="D38" t="s">
        <v>718</v>
      </c>
      <c r="E38" t="s">
        <v>710</v>
      </c>
      <c r="F38" t="s">
        <v>729</v>
      </c>
      <c r="G38" t="s">
        <v>724</v>
      </c>
      <c r="H38" t="s">
        <v>713</v>
      </c>
      <c r="I38" t="s">
        <v>722</v>
      </c>
    </row>
    <row r="39" spans="1:10" x14ac:dyDescent="0.25">
      <c r="A39" t="s">
        <v>932</v>
      </c>
      <c r="B39" t="str">
        <f t="shared" si="1"/>
        <v>[[Gate]]</v>
      </c>
      <c r="C39">
        <v>9</v>
      </c>
      <c r="D39" t="s">
        <v>749</v>
      </c>
      <c r="E39" t="s">
        <v>710</v>
      </c>
      <c r="F39" t="s">
        <v>725</v>
      </c>
      <c r="G39" t="s">
        <v>720</v>
      </c>
      <c r="H39" t="s">
        <v>713</v>
      </c>
      <c r="I39" t="s">
        <v>722</v>
      </c>
    </row>
    <row r="40" spans="1:10" x14ac:dyDescent="0.25">
      <c r="A40" t="s">
        <v>795</v>
      </c>
      <c r="B40" t="str">
        <f t="shared" si="1"/>
        <v>[[Glibness]]</v>
      </c>
      <c r="C40">
        <v>8</v>
      </c>
      <c r="D40" t="s">
        <v>709</v>
      </c>
      <c r="E40" t="s">
        <v>710</v>
      </c>
      <c r="F40" t="s">
        <v>738</v>
      </c>
      <c r="G40" t="s">
        <v>724</v>
      </c>
      <c r="H40" t="s">
        <v>740</v>
      </c>
    </row>
    <row r="41" spans="1:10" x14ac:dyDescent="0.25">
      <c r="A41" t="s">
        <v>801</v>
      </c>
      <c r="B41" t="str">
        <f t="shared" si="1"/>
        <v>[[Hallucinatory Terrain]]</v>
      </c>
      <c r="C41">
        <v>4</v>
      </c>
      <c r="D41" t="s">
        <v>751</v>
      </c>
      <c r="E41" t="s">
        <v>746</v>
      </c>
      <c r="F41" t="s">
        <v>802</v>
      </c>
      <c r="G41" t="s">
        <v>712</v>
      </c>
      <c r="H41" t="s">
        <v>713</v>
      </c>
    </row>
    <row r="42" spans="1:10" x14ac:dyDescent="0.25">
      <c r="A42" t="s">
        <v>1116</v>
      </c>
      <c r="B42" t="str">
        <f t="shared" si="1"/>
        <v>[[Hellish Rebuke]]</v>
      </c>
      <c r="C42">
        <v>1</v>
      </c>
      <c r="D42" t="s">
        <v>777</v>
      </c>
      <c r="E42" t="s">
        <v>780</v>
      </c>
      <c r="F42" t="s">
        <v>725</v>
      </c>
      <c r="G42" t="s">
        <v>730</v>
      </c>
      <c r="H42" t="s">
        <v>721</v>
      </c>
    </row>
    <row r="43" spans="1:10" x14ac:dyDescent="0.25">
      <c r="A43" t="s">
        <v>1117</v>
      </c>
      <c r="B43" t="str">
        <f t="shared" si="1"/>
        <v>[[Hex]]</v>
      </c>
      <c r="C43">
        <v>1</v>
      </c>
      <c r="D43" t="s">
        <v>709</v>
      </c>
      <c r="E43" t="s">
        <v>804</v>
      </c>
      <c r="F43" t="s">
        <v>756</v>
      </c>
      <c r="G43" t="s">
        <v>724</v>
      </c>
      <c r="H43" t="s">
        <v>713</v>
      </c>
      <c r="I43" t="s">
        <v>722</v>
      </c>
    </row>
    <row r="44" spans="1:10" x14ac:dyDescent="0.25">
      <c r="A44" t="s">
        <v>808</v>
      </c>
      <c r="B44" t="str">
        <f t="shared" si="1"/>
        <v>[[Hold Monster]]</v>
      </c>
      <c r="C44">
        <v>5</v>
      </c>
      <c r="D44" t="s">
        <v>709</v>
      </c>
      <c r="E44" t="s">
        <v>710</v>
      </c>
      <c r="F44" t="s">
        <v>756</v>
      </c>
      <c r="G44" t="s">
        <v>720</v>
      </c>
      <c r="H44" t="s">
        <v>713</v>
      </c>
      <c r="I44" t="s">
        <v>722</v>
      </c>
    </row>
    <row r="45" spans="1:10" x14ac:dyDescent="0.25">
      <c r="A45" t="s">
        <v>809</v>
      </c>
      <c r="B45" t="str">
        <f t="shared" si="1"/>
        <v>[[Hold Person]]</v>
      </c>
      <c r="C45">
        <v>2</v>
      </c>
      <c r="D45" t="s">
        <v>709</v>
      </c>
      <c r="E45" t="s">
        <v>710</v>
      </c>
      <c r="F45" t="s">
        <v>725</v>
      </c>
      <c r="G45" t="s">
        <v>720</v>
      </c>
      <c r="H45" t="s">
        <v>713</v>
      </c>
      <c r="I45" t="s">
        <v>722</v>
      </c>
    </row>
    <row r="46" spans="1:10" x14ac:dyDescent="0.25">
      <c r="A46" t="s">
        <v>1118</v>
      </c>
      <c r="B46" t="str">
        <f t="shared" si="1"/>
        <v>[[Hunger of Hadar]]</v>
      </c>
      <c r="C46">
        <v>3</v>
      </c>
      <c r="D46" t="s">
        <v>749</v>
      </c>
      <c r="E46" t="s">
        <v>710</v>
      </c>
      <c r="F46" t="s">
        <v>733</v>
      </c>
      <c r="G46" t="s">
        <v>720</v>
      </c>
      <c r="H46" t="s">
        <v>713</v>
      </c>
      <c r="I46" t="s">
        <v>722</v>
      </c>
    </row>
    <row r="47" spans="1:10" x14ac:dyDescent="0.25">
      <c r="A47" t="s">
        <v>810</v>
      </c>
      <c r="B47" t="str">
        <f t="shared" si="1"/>
        <v>[[Hypnotic Pattern]]</v>
      </c>
      <c r="C47">
        <v>3</v>
      </c>
      <c r="D47" t="s">
        <v>751</v>
      </c>
      <c r="E47" t="s">
        <v>710</v>
      </c>
      <c r="F47" t="s">
        <v>719</v>
      </c>
      <c r="G47" t="s">
        <v>720</v>
      </c>
      <c r="H47" t="s">
        <v>792</v>
      </c>
      <c r="I47" t="s">
        <v>722</v>
      </c>
    </row>
    <row r="48" spans="1:10" x14ac:dyDescent="0.25">
      <c r="A48" t="s">
        <v>813</v>
      </c>
      <c r="B48" t="str">
        <f t="shared" si="1"/>
        <v>[[Illusory Script]]</v>
      </c>
      <c r="C48">
        <v>1</v>
      </c>
      <c r="D48" t="s">
        <v>751</v>
      </c>
      <c r="E48" t="s">
        <v>812</v>
      </c>
      <c r="F48" t="s">
        <v>729</v>
      </c>
      <c r="G48" t="s">
        <v>726</v>
      </c>
      <c r="H48" t="s">
        <v>792</v>
      </c>
      <c r="J48" t="s">
        <v>716</v>
      </c>
    </row>
    <row r="49" spans="1:9" x14ac:dyDescent="0.25">
      <c r="A49" t="s">
        <v>1119</v>
      </c>
      <c r="B49" t="str">
        <f t="shared" si="1"/>
        <v>[[Imprisonment]]</v>
      </c>
      <c r="C49">
        <v>9</v>
      </c>
      <c r="D49" t="s">
        <v>737</v>
      </c>
      <c r="E49" t="s">
        <v>720</v>
      </c>
      <c r="F49" t="s">
        <v>711</v>
      </c>
      <c r="G49" t="s">
        <v>826</v>
      </c>
      <c r="H49" t="s">
        <v>713</v>
      </c>
    </row>
    <row r="50" spans="1:9" x14ac:dyDescent="0.25">
      <c r="A50" t="s">
        <v>814</v>
      </c>
      <c r="B50" t="str">
        <f t="shared" si="1"/>
        <v>[[Invisibility]]</v>
      </c>
      <c r="C50">
        <v>2</v>
      </c>
      <c r="D50" t="s">
        <v>751</v>
      </c>
      <c r="E50" t="s">
        <v>710</v>
      </c>
      <c r="F50" t="s">
        <v>729</v>
      </c>
      <c r="G50" t="s">
        <v>724</v>
      </c>
      <c r="H50" t="s">
        <v>713</v>
      </c>
      <c r="I50" t="s">
        <v>722</v>
      </c>
    </row>
    <row r="51" spans="1:9" x14ac:dyDescent="0.25">
      <c r="A51" t="s">
        <v>1120</v>
      </c>
      <c r="B51" t="str">
        <f t="shared" si="1"/>
        <v>[[Jallarzi's Storm of Radiance]]</v>
      </c>
      <c r="C51">
        <v>5</v>
      </c>
      <c r="D51" t="s">
        <v>777</v>
      </c>
      <c r="E51" t="s">
        <v>710</v>
      </c>
      <c r="F51" t="s">
        <v>719</v>
      </c>
      <c r="G51" t="s">
        <v>720</v>
      </c>
      <c r="H51" t="s">
        <v>713</v>
      </c>
      <c r="I51" t="s">
        <v>722</v>
      </c>
    </row>
    <row r="52" spans="1:9" x14ac:dyDescent="0.25">
      <c r="A52" t="s">
        <v>824</v>
      </c>
      <c r="B52" t="str">
        <f t="shared" si="1"/>
        <v>[[Mage Hand]]</v>
      </c>
      <c r="C52">
        <v>0</v>
      </c>
      <c r="D52" t="s">
        <v>749</v>
      </c>
      <c r="E52" t="s">
        <v>710</v>
      </c>
      <c r="F52" t="s">
        <v>711</v>
      </c>
      <c r="G52" t="s">
        <v>720</v>
      </c>
      <c r="H52" t="s">
        <v>721</v>
      </c>
    </row>
    <row r="53" spans="1:9" x14ac:dyDescent="0.25">
      <c r="A53" t="s">
        <v>943</v>
      </c>
      <c r="B53" t="str">
        <f t="shared" si="1"/>
        <v>[[Magic Circle]]</v>
      </c>
      <c r="C53">
        <v>3</v>
      </c>
      <c r="D53" t="s">
        <v>737</v>
      </c>
      <c r="E53" t="s">
        <v>720</v>
      </c>
      <c r="F53" t="s">
        <v>791</v>
      </c>
      <c r="G53" t="s">
        <v>724</v>
      </c>
      <c r="H53" t="s">
        <v>713</v>
      </c>
    </row>
    <row r="54" spans="1:9" x14ac:dyDescent="0.25">
      <c r="A54" t="s">
        <v>827</v>
      </c>
      <c r="B54" t="str">
        <f t="shared" si="1"/>
        <v>[[Major Image]]</v>
      </c>
      <c r="C54">
        <v>3</v>
      </c>
      <c r="D54" t="s">
        <v>751</v>
      </c>
      <c r="E54" t="s">
        <v>710</v>
      </c>
      <c r="F54" t="s">
        <v>719</v>
      </c>
      <c r="G54" t="s">
        <v>746</v>
      </c>
      <c r="H54" t="s">
        <v>713</v>
      </c>
      <c r="I54" t="s">
        <v>722</v>
      </c>
    </row>
    <row r="55" spans="1:9" x14ac:dyDescent="0.25">
      <c r="A55" t="s">
        <v>1094</v>
      </c>
      <c r="B55" t="str">
        <f t="shared" si="1"/>
        <v>[[Mind Sliver]]</v>
      </c>
      <c r="C55">
        <v>0</v>
      </c>
      <c r="D55" t="s">
        <v>709</v>
      </c>
      <c r="E55" t="s">
        <v>710</v>
      </c>
      <c r="F55" t="s">
        <v>725</v>
      </c>
      <c r="G55" t="s">
        <v>833</v>
      </c>
      <c r="H55" t="s">
        <v>740</v>
      </c>
    </row>
    <row r="56" spans="1:9" x14ac:dyDescent="0.25">
      <c r="A56" t="s">
        <v>1095</v>
      </c>
      <c r="B56" t="str">
        <f t="shared" si="1"/>
        <v>[[Mind Spike]]</v>
      </c>
      <c r="C56">
        <v>2</v>
      </c>
      <c r="D56" t="s">
        <v>745</v>
      </c>
      <c r="E56" t="s">
        <v>710</v>
      </c>
      <c r="F56" t="s">
        <v>719</v>
      </c>
      <c r="G56" t="s">
        <v>724</v>
      </c>
      <c r="H56" t="s">
        <v>840</v>
      </c>
      <c r="I56" t="s">
        <v>722</v>
      </c>
    </row>
    <row r="57" spans="1:9" x14ac:dyDescent="0.25">
      <c r="A57" t="s">
        <v>835</v>
      </c>
      <c r="B57" t="str">
        <f t="shared" si="1"/>
        <v>[[Minor Illusion]]</v>
      </c>
      <c r="C57">
        <v>0</v>
      </c>
      <c r="D57" t="s">
        <v>751</v>
      </c>
      <c r="E57" t="s">
        <v>710</v>
      </c>
      <c r="F57" t="s">
        <v>711</v>
      </c>
      <c r="G57" t="s">
        <v>720</v>
      </c>
      <c r="H57" t="s">
        <v>792</v>
      </c>
    </row>
    <row r="58" spans="1:9" x14ac:dyDescent="0.25">
      <c r="A58" t="s">
        <v>838</v>
      </c>
      <c r="B58" t="str">
        <f t="shared" si="1"/>
        <v>[[Mirror Image]]</v>
      </c>
      <c r="C58">
        <v>2</v>
      </c>
      <c r="D58" t="s">
        <v>751</v>
      </c>
      <c r="E58" t="s">
        <v>710</v>
      </c>
      <c r="F58" t="s">
        <v>738</v>
      </c>
      <c r="G58" t="s">
        <v>720</v>
      </c>
      <c r="H58" t="s">
        <v>721</v>
      </c>
    </row>
    <row r="59" spans="1:9" x14ac:dyDescent="0.25">
      <c r="A59" t="s">
        <v>839</v>
      </c>
      <c r="B59" t="str">
        <f t="shared" si="1"/>
        <v>[[Mislead]]</v>
      </c>
      <c r="C59">
        <v>5</v>
      </c>
      <c r="D59" t="s">
        <v>751</v>
      </c>
      <c r="E59" t="s">
        <v>710</v>
      </c>
      <c r="F59" t="s">
        <v>738</v>
      </c>
      <c r="G59" t="s">
        <v>724</v>
      </c>
      <c r="H59" t="s">
        <v>840</v>
      </c>
      <c r="I59" t="s">
        <v>722</v>
      </c>
    </row>
    <row r="60" spans="1:9" x14ac:dyDescent="0.25">
      <c r="A60" t="s">
        <v>1096</v>
      </c>
      <c r="B60" t="str">
        <f t="shared" si="1"/>
        <v>[[Misty Step]]</v>
      </c>
      <c r="C60">
        <v>2</v>
      </c>
      <c r="D60" t="s">
        <v>749</v>
      </c>
      <c r="E60" t="s">
        <v>804</v>
      </c>
      <c r="F60" t="s">
        <v>738</v>
      </c>
      <c r="G60" t="s">
        <v>730</v>
      </c>
      <c r="H60" t="s">
        <v>740</v>
      </c>
    </row>
    <row r="61" spans="1:9" x14ac:dyDescent="0.25">
      <c r="A61" t="s">
        <v>848</v>
      </c>
      <c r="B61" t="str">
        <f t="shared" si="1"/>
        <v>[[Planar Binding]]</v>
      </c>
      <c r="C61">
        <v>5</v>
      </c>
      <c r="D61" t="s">
        <v>737</v>
      </c>
      <c r="E61" t="s">
        <v>724</v>
      </c>
      <c r="F61" t="s">
        <v>725</v>
      </c>
      <c r="G61" t="s">
        <v>712</v>
      </c>
      <c r="H61" t="s">
        <v>713</v>
      </c>
    </row>
    <row r="62" spans="1:9" x14ac:dyDescent="0.25">
      <c r="A62" t="s">
        <v>947</v>
      </c>
      <c r="B62" t="str">
        <f t="shared" si="1"/>
        <v>[[Plane Shift]]</v>
      </c>
      <c r="C62">
        <v>7</v>
      </c>
      <c r="D62" t="s">
        <v>749</v>
      </c>
      <c r="E62" t="s">
        <v>710</v>
      </c>
      <c r="F62" t="s">
        <v>729</v>
      </c>
      <c r="G62" t="s">
        <v>730</v>
      </c>
      <c r="H62" t="s">
        <v>713</v>
      </c>
    </row>
    <row r="63" spans="1:9" x14ac:dyDescent="0.25">
      <c r="A63" t="s">
        <v>1011</v>
      </c>
      <c r="B63" t="str">
        <f t="shared" si="1"/>
        <v>[[Poison Spray]]</v>
      </c>
      <c r="C63">
        <v>0</v>
      </c>
      <c r="D63" t="s">
        <v>735</v>
      </c>
      <c r="E63" t="s">
        <v>710</v>
      </c>
      <c r="F63" t="s">
        <v>711</v>
      </c>
      <c r="G63" t="s">
        <v>730</v>
      </c>
      <c r="H63" t="s">
        <v>721</v>
      </c>
    </row>
    <row r="64" spans="1:9" x14ac:dyDescent="0.25">
      <c r="A64" t="s">
        <v>854</v>
      </c>
      <c r="B64" t="str">
        <f t="shared" si="1"/>
        <v>[[Power Word Kill]]</v>
      </c>
      <c r="C64">
        <v>9</v>
      </c>
      <c r="D64" t="s">
        <v>709</v>
      </c>
      <c r="E64" t="s">
        <v>710</v>
      </c>
      <c r="F64" t="s">
        <v>725</v>
      </c>
      <c r="G64" t="s">
        <v>730</v>
      </c>
      <c r="H64" t="s">
        <v>740</v>
      </c>
    </row>
    <row r="65" spans="1:10" x14ac:dyDescent="0.25">
      <c r="A65" t="s">
        <v>855</v>
      </c>
      <c r="B65" t="str">
        <f t="shared" ref="B65:B91" si="2">"[["&amp;A65&amp;"]]"</f>
        <v>[[Power Word Stun]]</v>
      </c>
      <c r="C65">
        <v>8</v>
      </c>
      <c r="D65" t="s">
        <v>709</v>
      </c>
      <c r="E65" t="s">
        <v>710</v>
      </c>
      <c r="F65" t="s">
        <v>725</v>
      </c>
      <c r="G65" t="s">
        <v>730</v>
      </c>
      <c r="H65" t="s">
        <v>740</v>
      </c>
    </row>
    <row r="66" spans="1:10" x14ac:dyDescent="0.25">
      <c r="A66" t="s">
        <v>856</v>
      </c>
      <c r="B66" t="str">
        <f t="shared" si="2"/>
        <v>[[Prestidigitation]]</v>
      </c>
      <c r="C66">
        <v>0</v>
      </c>
      <c r="D66" t="s">
        <v>718</v>
      </c>
      <c r="E66" t="s">
        <v>710</v>
      </c>
      <c r="F66" t="s">
        <v>791</v>
      </c>
      <c r="G66" t="s">
        <v>724</v>
      </c>
      <c r="H66" t="s">
        <v>721</v>
      </c>
    </row>
    <row r="67" spans="1:10" x14ac:dyDescent="0.25">
      <c r="A67" t="s">
        <v>950</v>
      </c>
      <c r="B67" t="str">
        <f t="shared" si="2"/>
        <v>[[Protection from Evil and Good]]</v>
      </c>
      <c r="C67">
        <v>1</v>
      </c>
      <c r="D67" t="s">
        <v>737</v>
      </c>
      <c r="E67" t="s">
        <v>710</v>
      </c>
      <c r="F67" t="s">
        <v>729</v>
      </c>
      <c r="G67" t="s">
        <v>746</v>
      </c>
      <c r="H67" t="s">
        <v>713</v>
      </c>
      <c r="I67" t="s">
        <v>722</v>
      </c>
    </row>
    <row r="68" spans="1:10" x14ac:dyDescent="0.25">
      <c r="A68" t="s">
        <v>1121</v>
      </c>
      <c r="B68" t="str">
        <f t="shared" si="2"/>
        <v>[[Ray of Enfeeblement]]</v>
      </c>
      <c r="C68">
        <v>2</v>
      </c>
      <c r="D68" t="s">
        <v>735</v>
      </c>
      <c r="E68" t="s">
        <v>710</v>
      </c>
      <c r="F68" t="s">
        <v>725</v>
      </c>
      <c r="G68" t="s">
        <v>720</v>
      </c>
      <c r="H68" t="s">
        <v>721</v>
      </c>
      <c r="I68" t="s">
        <v>722</v>
      </c>
    </row>
    <row r="69" spans="1:10" x14ac:dyDescent="0.25">
      <c r="A69" t="s">
        <v>953</v>
      </c>
      <c r="B69" t="str">
        <f t="shared" si="2"/>
        <v>[[Remove Curse]]</v>
      </c>
      <c r="C69">
        <v>3</v>
      </c>
      <c r="D69" t="s">
        <v>737</v>
      </c>
      <c r="E69" t="s">
        <v>710</v>
      </c>
      <c r="F69" t="s">
        <v>729</v>
      </c>
      <c r="G69" t="s">
        <v>730</v>
      </c>
      <c r="H69" t="s">
        <v>721</v>
      </c>
    </row>
    <row r="70" spans="1:10" x14ac:dyDescent="0.25">
      <c r="A70" t="s">
        <v>866</v>
      </c>
      <c r="B70" t="str">
        <f t="shared" si="2"/>
        <v>[[Scrying]]</v>
      </c>
      <c r="C70">
        <v>5</v>
      </c>
      <c r="D70" t="s">
        <v>745</v>
      </c>
      <c r="E70" t="s">
        <v>746</v>
      </c>
      <c r="F70" t="s">
        <v>738</v>
      </c>
      <c r="G70" t="s">
        <v>746</v>
      </c>
      <c r="H70" t="s">
        <v>713</v>
      </c>
      <c r="I70" t="s">
        <v>722</v>
      </c>
    </row>
    <row r="71" spans="1:10" x14ac:dyDescent="0.25">
      <c r="A71" t="s">
        <v>876</v>
      </c>
      <c r="B71" t="str">
        <f t="shared" si="2"/>
        <v>[[Speak with Animals]]</v>
      </c>
      <c r="C71">
        <v>1</v>
      </c>
      <c r="D71" t="s">
        <v>745</v>
      </c>
      <c r="E71" t="s">
        <v>715</v>
      </c>
      <c r="F71" t="s">
        <v>738</v>
      </c>
      <c r="G71" t="s">
        <v>746</v>
      </c>
      <c r="H71" t="s">
        <v>721</v>
      </c>
      <c r="J71" t="s">
        <v>716</v>
      </c>
    </row>
    <row r="72" spans="1:10" x14ac:dyDescent="0.25">
      <c r="A72" t="s">
        <v>1104</v>
      </c>
      <c r="B72" t="str">
        <f t="shared" si="2"/>
        <v>[[Spider Climb]]</v>
      </c>
      <c r="C72">
        <v>2</v>
      </c>
      <c r="D72" t="s">
        <v>718</v>
      </c>
      <c r="E72" t="s">
        <v>710</v>
      </c>
      <c r="F72" t="s">
        <v>729</v>
      </c>
      <c r="G72" t="s">
        <v>724</v>
      </c>
      <c r="H72" t="s">
        <v>713</v>
      </c>
      <c r="I72" t="s">
        <v>722</v>
      </c>
    </row>
    <row r="73" spans="1:10" x14ac:dyDescent="0.25">
      <c r="A73" t="s">
        <v>881</v>
      </c>
      <c r="B73" t="str">
        <f t="shared" si="2"/>
        <v>[[Suggestion]]</v>
      </c>
      <c r="C73">
        <v>2</v>
      </c>
      <c r="D73" t="s">
        <v>709</v>
      </c>
      <c r="E73" t="s">
        <v>710</v>
      </c>
      <c r="F73" t="s">
        <v>711</v>
      </c>
      <c r="G73" t="s">
        <v>728</v>
      </c>
      <c r="H73" t="s">
        <v>781</v>
      </c>
      <c r="I73" t="s">
        <v>722</v>
      </c>
    </row>
    <row r="74" spans="1:10" x14ac:dyDescent="0.25">
      <c r="A74" t="s">
        <v>1122</v>
      </c>
      <c r="B74" t="str">
        <f t="shared" si="2"/>
        <v>[[Summon Aberration]]</v>
      </c>
      <c r="C74">
        <v>4</v>
      </c>
      <c r="D74" t="s">
        <v>749</v>
      </c>
      <c r="E74" t="s">
        <v>710</v>
      </c>
      <c r="F74" t="s">
        <v>756</v>
      </c>
      <c r="G74" t="s">
        <v>724</v>
      </c>
      <c r="H74" t="s">
        <v>713</v>
      </c>
      <c r="I74" t="s">
        <v>722</v>
      </c>
    </row>
    <row r="75" spans="1:10" x14ac:dyDescent="0.25">
      <c r="A75" t="s">
        <v>1023</v>
      </c>
      <c r="B75" t="str">
        <f t="shared" si="2"/>
        <v>[[Summon Fey]]</v>
      </c>
      <c r="C75">
        <v>3</v>
      </c>
      <c r="D75" t="s">
        <v>749</v>
      </c>
      <c r="E75" t="s">
        <v>710</v>
      </c>
      <c r="F75" t="s">
        <v>756</v>
      </c>
      <c r="G75" t="s">
        <v>724</v>
      </c>
      <c r="H75" t="s">
        <v>713</v>
      </c>
      <c r="I75" t="s">
        <v>722</v>
      </c>
    </row>
    <row r="76" spans="1:10" x14ac:dyDescent="0.25">
      <c r="A76" t="s">
        <v>1123</v>
      </c>
      <c r="B76" t="str">
        <f t="shared" si="2"/>
        <v>[[Summon Fiend]]</v>
      </c>
      <c r="C76">
        <v>6</v>
      </c>
      <c r="D76" t="s">
        <v>749</v>
      </c>
      <c r="E76" t="s">
        <v>710</v>
      </c>
      <c r="F76" t="s">
        <v>756</v>
      </c>
      <c r="G76" t="s">
        <v>724</v>
      </c>
      <c r="H76" t="s">
        <v>713</v>
      </c>
      <c r="I76" t="s">
        <v>722</v>
      </c>
    </row>
    <row r="77" spans="1:10" x14ac:dyDescent="0.25">
      <c r="A77" t="s">
        <v>1124</v>
      </c>
      <c r="B77" t="str">
        <f t="shared" si="2"/>
        <v>[[Summon Undead]]</v>
      </c>
      <c r="C77">
        <v>3</v>
      </c>
      <c r="D77" t="s">
        <v>735</v>
      </c>
      <c r="E77" t="s">
        <v>710</v>
      </c>
      <c r="F77" t="s">
        <v>756</v>
      </c>
      <c r="G77" t="s">
        <v>724</v>
      </c>
      <c r="H77" t="s">
        <v>713</v>
      </c>
      <c r="I77" t="s">
        <v>722</v>
      </c>
    </row>
    <row r="78" spans="1:10" x14ac:dyDescent="0.25">
      <c r="A78" t="s">
        <v>883</v>
      </c>
      <c r="B78" t="str">
        <f t="shared" si="2"/>
        <v>[[Synaptic Static]]</v>
      </c>
      <c r="C78">
        <v>5</v>
      </c>
      <c r="D78" t="s">
        <v>709</v>
      </c>
      <c r="E78" t="s">
        <v>710</v>
      </c>
      <c r="F78" t="s">
        <v>719</v>
      </c>
      <c r="G78" t="s">
        <v>730</v>
      </c>
      <c r="H78" t="s">
        <v>721</v>
      </c>
    </row>
    <row r="79" spans="1:10" x14ac:dyDescent="0.25">
      <c r="A79" t="s">
        <v>1125</v>
      </c>
      <c r="B79" t="str">
        <f t="shared" si="2"/>
        <v>[[Tasha's Bubbling Cauldron]]</v>
      </c>
      <c r="C79">
        <v>6</v>
      </c>
      <c r="D79" t="s">
        <v>749</v>
      </c>
      <c r="E79" t="s">
        <v>710</v>
      </c>
      <c r="F79" t="s">
        <v>974</v>
      </c>
      <c r="G79" t="s">
        <v>746</v>
      </c>
      <c r="H79" t="s">
        <v>713</v>
      </c>
    </row>
    <row r="80" spans="1:10" x14ac:dyDescent="0.25">
      <c r="A80" t="s">
        <v>884</v>
      </c>
      <c r="B80" t="str">
        <f t="shared" si="2"/>
        <v>[[Tasha's Hideous Laughter]]</v>
      </c>
      <c r="C80">
        <v>1</v>
      </c>
      <c r="D80" t="s">
        <v>709</v>
      </c>
      <c r="E80" t="s">
        <v>710</v>
      </c>
      <c r="F80" t="s">
        <v>711</v>
      </c>
      <c r="G80" t="s">
        <v>720</v>
      </c>
      <c r="H80" t="s">
        <v>713</v>
      </c>
      <c r="I80" t="s">
        <v>722</v>
      </c>
    </row>
    <row r="81" spans="1:10" x14ac:dyDescent="0.25">
      <c r="A81" t="s">
        <v>886</v>
      </c>
      <c r="B81" t="str">
        <f t="shared" si="2"/>
        <v>[[Teleportation Circle]]</v>
      </c>
      <c r="C81">
        <v>5</v>
      </c>
      <c r="D81" t="s">
        <v>749</v>
      </c>
      <c r="E81" t="s">
        <v>720</v>
      </c>
      <c r="F81" t="s">
        <v>791</v>
      </c>
      <c r="G81" t="s">
        <v>833</v>
      </c>
      <c r="H81" t="s">
        <v>781</v>
      </c>
    </row>
    <row r="82" spans="1:10" x14ac:dyDescent="0.25">
      <c r="A82" t="s">
        <v>887</v>
      </c>
      <c r="B82" t="str">
        <f t="shared" si="2"/>
        <v>[[Thunderclap]]</v>
      </c>
      <c r="C82">
        <v>0</v>
      </c>
      <c r="D82" t="s">
        <v>777</v>
      </c>
      <c r="E82" t="s">
        <v>710</v>
      </c>
      <c r="F82" t="s">
        <v>738</v>
      </c>
      <c r="G82" t="s">
        <v>730</v>
      </c>
      <c r="H82" t="s">
        <v>840</v>
      </c>
    </row>
    <row r="83" spans="1:10" x14ac:dyDescent="0.25">
      <c r="A83" t="s">
        <v>968</v>
      </c>
      <c r="B83" t="str">
        <f t="shared" si="2"/>
        <v>[[Toll the Dead]]</v>
      </c>
      <c r="C83">
        <v>0</v>
      </c>
      <c r="D83" t="s">
        <v>735</v>
      </c>
      <c r="E83" t="s">
        <v>710</v>
      </c>
      <c r="F83" t="s">
        <v>725</v>
      </c>
      <c r="G83" t="s">
        <v>730</v>
      </c>
      <c r="H83" t="s">
        <v>721</v>
      </c>
    </row>
    <row r="84" spans="1:10" x14ac:dyDescent="0.25">
      <c r="A84" t="s">
        <v>889</v>
      </c>
      <c r="B84" t="str">
        <f t="shared" si="2"/>
        <v>[[Tongues]]</v>
      </c>
      <c r="C84">
        <v>3</v>
      </c>
      <c r="D84" t="s">
        <v>745</v>
      </c>
      <c r="E84" t="s">
        <v>710</v>
      </c>
      <c r="F84" t="s">
        <v>729</v>
      </c>
      <c r="G84" t="s">
        <v>724</v>
      </c>
      <c r="H84" t="s">
        <v>781</v>
      </c>
    </row>
    <row r="85" spans="1:10" x14ac:dyDescent="0.25">
      <c r="A85" t="s">
        <v>890</v>
      </c>
      <c r="B85" t="str">
        <f t="shared" si="2"/>
        <v>[[True Polymorph]]</v>
      </c>
      <c r="C85">
        <v>9</v>
      </c>
      <c r="D85" t="s">
        <v>718</v>
      </c>
      <c r="E85" t="s">
        <v>710</v>
      </c>
      <c r="F85" t="s">
        <v>711</v>
      </c>
      <c r="G85" t="s">
        <v>724</v>
      </c>
      <c r="H85" t="s">
        <v>713</v>
      </c>
      <c r="I85" t="s">
        <v>722</v>
      </c>
    </row>
    <row r="86" spans="1:10" x14ac:dyDescent="0.25">
      <c r="A86" t="s">
        <v>891</v>
      </c>
      <c r="B86" t="str">
        <f t="shared" si="2"/>
        <v>[[True Seeing]]</v>
      </c>
      <c r="C86">
        <v>6</v>
      </c>
      <c r="D86" t="s">
        <v>745</v>
      </c>
      <c r="E86" t="s">
        <v>710</v>
      </c>
      <c r="F86" t="s">
        <v>729</v>
      </c>
      <c r="G86" t="s">
        <v>724</v>
      </c>
      <c r="H86" t="s">
        <v>713</v>
      </c>
    </row>
    <row r="87" spans="1:10" x14ac:dyDescent="0.25">
      <c r="A87" t="s">
        <v>892</v>
      </c>
      <c r="B87" t="str">
        <f t="shared" si="2"/>
        <v>[[True Strike]]</v>
      </c>
      <c r="C87">
        <v>0</v>
      </c>
      <c r="D87" t="s">
        <v>745</v>
      </c>
      <c r="E87" t="s">
        <v>710</v>
      </c>
      <c r="F87" t="s">
        <v>738</v>
      </c>
      <c r="G87" t="s">
        <v>730</v>
      </c>
      <c r="H87" t="s">
        <v>792</v>
      </c>
    </row>
    <row r="88" spans="1:10" x14ac:dyDescent="0.25">
      <c r="A88" t="s">
        <v>893</v>
      </c>
      <c r="B88" t="str">
        <f t="shared" si="2"/>
        <v>[[Unseen Servant]]</v>
      </c>
      <c r="C88">
        <v>1</v>
      </c>
      <c r="D88" t="s">
        <v>749</v>
      </c>
      <c r="E88" t="s">
        <v>715</v>
      </c>
      <c r="F88" t="s">
        <v>725</v>
      </c>
      <c r="G88" t="s">
        <v>724</v>
      </c>
      <c r="H88" t="s">
        <v>713</v>
      </c>
      <c r="J88" t="s">
        <v>716</v>
      </c>
    </row>
    <row r="89" spans="1:10" x14ac:dyDescent="0.25">
      <c r="A89" t="s">
        <v>1107</v>
      </c>
      <c r="B89" t="str">
        <f t="shared" si="2"/>
        <v>[[Vampiric Touch]]</v>
      </c>
      <c r="C89">
        <v>3</v>
      </c>
      <c r="D89" t="s">
        <v>735</v>
      </c>
      <c r="E89" t="s">
        <v>710</v>
      </c>
      <c r="F89" t="s">
        <v>738</v>
      </c>
      <c r="G89" t="s">
        <v>720</v>
      </c>
      <c r="H89" t="s">
        <v>721</v>
      </c>
      <c r="I89" t="s">
        <v>722</v>
      </c>
    </row>
    <row r="90" spans="1:10" x14ac:dyDescent="0.25">
      <c r="A90" t="s">
        <v>1126</v>
      </c>
      <c r="B90" t="str">
        <f t="shared" si="2"/>
        <v>[[Weird]]</v>
      </c>
      <c r="C90">
        <v>9</v>
      </c>
      <c r="D90" t="s">
        <v>751</v>
      </c>
      <c r="E90" t="s">
        <v>710</v>
      </c>
      <c r="F90" t="s">
        <v>719</v>
      </c>
      <c r="G90" t="s">
        <v>720</v>
      </c>
      <c r="H90" t="s">
        <v>721</v>
      </c>
      <c r="I90" t="s">
        <v>722</v>
      </c>
    </row>
    <row r="91" spans="1:10" x14ac:dyDescent="0.25">
      <c r="A91" t="s">
        <v>1111</v>
      </c>
      <c r="B91" t="str">
        <f t="shared" si="2"/>
        <v>[[Witch Bolt]]</v>
      </c>
      <c r="C91">
        <v>1</v>
      </c>
      <c r="D91" t="s">
        <v>777</v>
      </c>
      <c r="E91" t="s">
        <v>710</v>
      </c>
      <c r="F91" t="s">
        <v>725</v>
      </c>
      <c r="G91" t="s">
        <v>720</v>
      </c>
      <c r="H91" t="s">
        <v>713</v>
      </c>
      <c r="I91" t="s">
        <v>722</v>
      </c>
    </row>
  </sheetData>
  <pageMargins left="0.7" right="0.7" top="0.75" bottom="0.75" header="0.3" footer="0.3"/>
  <pageSetup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80FD5-2FC8-4A22-A980-BD7C4827B502}">
  <sheetPr codeName="Sheet9"/>
  <dimension ref="A1:J242"/>
  <sheetViews>
    <sheetView workbookViewId="0">
      <selection activeCell="B1" sqref="B1:J242"/>
    </sheetView>
  </sheetViews>
  <sheetFormatPr defaultRowHeight="15" x14ac:dyDescent="0.25"/>
  <sheetData>
    <row r="1" spans="1:10" x14ac:dyDescent="0.25">
      <c r="A1" t="s">
        <v>1059</v>
      </c>
      <c r="B1" t="str">
        <f t="shared" ref="B1:B64" si="0">"[["&amp;A1&amp;"]]"</f>
        <v>[[Acid Splash]]</v>
      </c>
      <c r="C1">
        <v>0</v>
      </c>
      <c r="D1" t="s">
        <v>777</v>
      </c>
      <c r="E1" t="s">
        <v>710</v>
      </c>
      <c r="F1" t="s">
        <v>725</v>
      </c>
      <c r="G1" t="s">
        <v>730</v>
      </c>
      <c r="H1" t="s">
        <v>721</v>
      </c>
    </row>
    <row r="2" spans="1:10" x14ac:dyDescent="0.25">
      <c r="A2" t="s">
        <v>1049</v>
      </c>
      <c r="B2" t="str">
        <f t="shared" si="0"/>
        <v>[[Alarm]]</v>
      </c>
      <c r="C2">
        <v>1</v>
      </c>
      <c r="D2" t="s">
        <v>737</v>
      </c>
      <c r="E2" t="s">
        <v>812</v>
      </c>
      <c r="F2" t="s">
        <v>711</v>
      </c>
      <c r="G2" t="s">
        <v>728</v>
      </c>
      <c r="H2" t="s">
        <v>713</v>
      </c>
      <c r="J2" t="s">
        <v>716</v>
      </c>
    </row>
    <row r="3" spans="1:10" x14ac:dyDescent="0.25">
      <c r="A3" t="s">
        <v>1060</v>
      </c>
      <c r="B3" t="str">
        <f t="shared" si="0"/>
        <v>[[Alter Self]]</v>
      </c>
      <c r="C3">
        <v>2</v>
      </c>
      <c r="D3" t="s">
        <v>718</v>
      </c>
      <c r="E3" t="s">
        <v>710</v>
      </c>
      <c r="F3" t="s">
        <v>738</v>
      </c>
      <c r="G3" t="s">
        <v>724</v>
      </c>
      <c r="H3" t="s">
        <v>721</v>
      </c>
      <c r="I3" t="s">
        <v>722</v>
      </c>
    </row>
    <row r="4" spans="1:10" x14ac:dyDescent="0.25">
      <c r="A4" t="s">
        <v>897</v>
      </c>
      <c r="B4" t="str">
        <f t="shared" si="0"/>
        <v>[[Animate Dead]]</v>
      </c>
      <c r="C4">
        <v>3</v>
      </c>
      <c r="D4" t="s">
        <v>735</v>
      </c>
      <c r="E4" t="s">
        <v>720</v>
      </c>
      <c r="F4" t="s">
        <v>791</v>
      </c>
      <c r="G4" t="s">
        <v>730</v>
      </c>
      <c r="H4" t="s">
        <v>713</v>
      </c>
    </row>
    <row r="5" spans="1:10" x14ac:dyDescent="0.25">
      <c r="A5" t="s">
        <v>717</v>
      </c>
      <c r="B5" t="str">
        <f t="shared" si="0"/>
        <v>[[Animate Objects]]</v>
      </c>
      <c r="C5">
        <v>5</v>
      </c>
      <c r="D5" t="s">
        <v>718</v>
      </c>
      <c r="E5" t="s">
        <v>710</v>
      </c>
      <c r="F5" t="s">
        <v>719</v>
      </c>
      <c r="G5" t="s">
        <v>720</v>
      </c>
      <c r="H5" t="s">
        <v>721</v>
      </c>
      <c r="I5" t="s">
        <v>722</v>
      </c>
    </row>
    <row r="6" spans="1:10" x14ac:dyDescent="0.25">
      <c r="A6" t="s">
        <v>898</v>
      </c>
      <c r="B6" t="str">
        <f t="shared" si="0"/>
        <v>[[Antimagic Field]]</v>
      </c>
      <c r="C6">
        <v>8</v>
      </c>
      <c r="D6" t="s">
        <v>737</v>
      </c>
      <c r="E6" t="s">
        <v>710</v>
      </c>
      <c r="F6" t="s">
        <v>738</v>
      </c>
      <c r="G6" t="s">
        <v>724</v>
      </c>
      <c r="H6" t="s">
        <v>713</v>
      </c>
      <c r="I6" t="s">
        <v>722</v>
      </c>
    </row>
    <row r="7" spans="1:10" x14ac:dyDescent="0.25">
      <c r="A7" t="s">
        <v>723</v>
      </c>
      <c r="B7" t="str">
        <f t="shared" si="0"/>
        <v>[[Antipathy/Sympathy]]</v>
      </c>
      <c r="C7">
        <v>8</v>
      </c>
      <c r="D7" t="s">
        <v>709</v>
      </c>
      <c r="E7" t="s">
        <v>724</v>
      </c>
      <c r="F7" t="s">
        <v>725</v>
      </c>
      <c r="G7" t="s">
        <v>726</v>
      </c>
      <c r="H7" t="s">
        <v>713</v>
      </c>
    </row>
    <row r="8" spans="1:10" x14ac:dyDescent="0.25">
      <c r="A8" t="s">
        <v>1127</v>
      </c>
      <c r="B8" t="str">
        <f t="shared" si="0"/>
        <v>[[Arcane Eye]]</v>
      </c>
      <c r="C8">
        <v>4</v>
      </c>
      <c r="D8" t="s">
        <v>745</v>
      </c>
      <c r="E8" t="s">
        <v>710</v>
      </c>
      <c r="F8" t="s">
        <v>711</v>
      </c>
      <c r="G8" t="s">
        <v>724</v>
      </c>
      <c r="H8" t="s">
        <v>713</v>
      </c>
      <c r="I8" t="s">
        <v>722</v>
      </c>
    </row>
    <row r="9" spans="1:10" x14ac:dyDescent="0.25">
      <c r="A9" t="s">
        <v>1061</v>
      </c>
      <c r="B9" t="str">
        <f t="shared" si="0"/>
        <v>[[Arcane Gate]]</v>
      </c>
      <c r="C9">
        <v>6</v>
      </c>
      <c r="D9" t="s">
        <v>749</v>
      </c>
      <c r="E9" t="s">
        <v>710</v>
      </c>
      <c r="F9" t="s">
        <v>763</v>
      </c>
      <c r="G9" t="s">
        <v>746</v>
      </c>
      <c r="H9" t="s">
        <v>721</v>
      </c>
      <c r="I9" t="s">
        <v>722</v>
      </c>
    </row>
    <row r="10" spans="1:10" x14ac:dyDescent="0.25">
      <c r="A10" t="s">
        <v>1128</v>
      </c>
      <c r="B10" t="str">
        <f t="shared" si="0"/>
        <v>[[Arcane Lock]]</v>
      </c>
      <c r="C10">
        <v>2</v>
      </c>
      <c r="D10" t="s">
        <v>737</v>
      </c>
      <c r="E10" t="s">
        <v>710</v>
      </c>
      <c r="F10" t="s">
        <v>729</v>
      </c>
      <c r="G10" t="s">
        <v>826</v>
      </c>
      <c r="H10" t="s">
        <v>713</v>
      </c>
    </row>
    <row r="11" spans="1:10" x14ac:dyDescent="0.25">
      <c r="A11" t="s">
        <v>1062</v>
      </c>
      <c r="B11" t="str">
        <f t="shared" si="0"/>
        <v>[[Arcane Vigor]]</v>
      </c>
      <c r="C11">
        <v>2</v>
      </c>
      <c r="D11" t="s">
        <v>737</v>
      </c>
      <c r="E11" t="s">
        <v>804</v>
      </c>
      <c r="F11" t="s">
        <v>738</v>
      </c>
      <c r="G11" t="s">
        <v>730</v>
      </c>
      <c r="H11" t="s">
        <v>721</v>
      </c>
    </row>
    <row r="12" spans="1:10" x14ac:dyDescent="0.25">
      <c r="A12" t="s">
        <v>899</v>
      </c>
      <c r="B12" t="str">
        <f t="shared" si="0"/>
        <v>[[Astral Projection]]</v>
      </c>
      <c r="C12">
        <v>9</v>
      </c>
      <c r="D12" t="s">
        <v>735</v>
      </c>
      <c r="E12" t="s">
        <v>724</v>
      </c>
      <c r="F12" t="s">
        <v>791</v>
      </c>
      <c r="G12" t="s">
        <v>826</v>
      </c>
      <c r="H12" t="s">
        <v>713</v>
      </c>
    </row>
    <row r="13" spans="1:10" x14ac:dyDescent="0.25">
      <c r="A13" t="s">
        <v>900</v>
      </c>
      <c r="B13" t="str">
        <f t="shared" si="0"/>
        <v>[[Augury]]</v>
      </c>
      <c r="C13">
        <v>2</v>
      </c>
      <c r="D13" t="s">
        <v>745</v>
      </c>
      <c r="E13" t="s">
        <v>812</v>
      </c>
      <c r="F13" t="s">
        <v>738</v>
      </c>
      <c r="G13" t="s">
        <v>730</v>
      </c>
      <c r="H13" t="s">
        <v>713</v>
      </c>
      <c r="J13" t="s">
        <v>716</v>
      </c>
    </row>
    <row r="14" spans="1:10" x14ac:dyDescent="0.25">
      <c r="A14" t="s">
        <v>904</v>
      </c>
      <c r="B14" t="str">
        <f t="shared" si="0"/>
        <v>[[Banishment]]</v>
      </c>
      <c r="C14">
        <v>4</v>
      </c>
      <c r="D14" t="s">
        <v>737</v>
      </c>
      <c r="E14" t="s">
        <v>710</v>
      </c>
      <c r="F14" t="s">
        <v>711</v>
      </c>
      <c r="G14" t="s">
        <v>720</v>
      </c>
      <c r="H14" t="s">
        <v>713</v>
      </c>
      <c r="I14" t="s">
        <v>722</v>
      </c>
    </row>
    <row r="15" spans="1:10" x14ac:dyDescent="0.25">
      <c r="A15" t="s">
        <v>732</v>
      </c>
      <c r="B15" t="str">
        <f t="shared" si="0"/>
        <v>[[Befuddlement]]</v>
      </c>
      <c r="C15">
        <v>8</v>
      </c>
      <c r="D15" t="s">
        <v>709</v>
      </c>
      <c r="E15" t="s">
        <v>710</v>
      </c>
      <c r="F15" t="s">
        <v>733</v>
      </c>
      <c r="G15" t="s">
        <v>730</v>
      </c>
      <c r="H15" t="s">
        <v>713</v>
      </c>
    </row>
    <row r="16" spans="1:10" x14ac:dyDescent="0.25">
      <c r="A16" t="s">
        <v>734</v>
      </c>
      <c r="B16" t="str">
        <f t="shared" si="0"/>
        <v>[[Bestow Curse]]</v>
      </c>
      <c r="C16">
        <v>3</v>
      </c>
      <c r="D16" t="s">
        <v>735</v>
      </c>
      <c r="E16" t="s">
        <v>710</v>
      </c>
      <c r="F16" t="s">
        <v>729</v>
      </c>
      <c r="G16" t="s">
        <v>720</v>
      </c>
      <c r="H16" t="s">
        <v>721</v>
      </c>
      <c r="I16" t="s">
        <v>722</v>
      </c>
    </row>
    <row r="17" spans="1:9" x14ac:dyDescent="0.25">
      <c r="A17" t="s">
        <v>1063</v>
      </c>
      <c r="B17" t="str">
        <f t="shared" si="0"/>
        <v>[[Bigby's Hand]]</v>
      </c>
      <c r="C17">
        <v>5</v>
      </c>
      <c r="D17" t="s">
        <v>777</v>
      </c>
      <c r="E17" t="s">
        <v>710</v>
      </c>
      <c r="F17" t="s">
        <v>719</v>
      </c>
      <c r="G17" t="s">
        <v>720</v>
      </c>
      <c r="H17" t="s">
        <v>713</v>
      </c>
      <c r="I17" t="s">
        <v>722</v>
      </c>
    </row>
    <row r="18" spans="1:9" x14ac:dyDescent="0.25">
      <c r="A18" t="s">
        <v>736</v>
      </c>
      <c r="B18" t="str">
        <f t="shared" si="0"/>
        <v>[[Blade Ward]]</v>
      </c>
      <c r="C18">
        <v>0</v>
      </c>
      <c r="D18" t="s">
        <v>737</v>
      </c>
      <c r="E18" t="s">
        <v>710</v>
      </c>
      <c r="F18" t="s">
        <v>738</v>
      </c>
      <c r="G18" t="s">
        <v>720</v>
      </c>
      <c r="H18" t="s">
        <v>721</v>
      </c>
      <c r="I18" t="s">
        <v>722</v>
      </c>
    </row>
    <row r="19" spans="1:9" x14ac:dyDescent="0.25">
      <c r="A19" t="s">
        <v>979</v>
      </c>
      <c r="B19" t="str">
        <f t="shared" si="0"/>
        <v>[[Blight]]</v>
      </c>
      <c r="C19">
        <v>4</v>
      </c>
      <c r="D19" t="s">
        <v>735</v>
      </c>
      <c r="E19" t="s">
        <v>710</v>
      </c>
      <c r="F19" t="s">
        <v>711</v>
      </c>
      <c r="G19" t="s">
        <v>730</v>
      </c>
      <c r="H19" t="s">
        <v>721</v>
      </c>
    </row>
    <row r="20" spans="1:9" x14ac:dyDescent="0.25">
      <c r="A20" t="s">
        <v>739</v>
      </c>
      <c r="B20" t="str">
        <f t="shared" si="0"/>
        <v>[[Blindness/Deafness]]</v>
      </c>
      <c r="C20">
        <v>2</v>
      </c>
      <c r="D20" t="s">
        <v>718</v>
      </c>
      <c r="E20" t="s">
        <v>710</v>
      </c>
      <c r="F20" t="s">
        <v>719</v>
      </c>
      <c r="G20" t="s">
        <v>720</v>
      </c>
      <c r="H20" t="s">
        <v>740</v>
      </c>
    </row>
    <row r="21" spans="1:9" x14ac:dyDescent="0.25">
      <c r="A21" t="s">
        <v>1064</v>
      </c>
      <c r="B21" t="str">
        <f t="shared" si="0"/>
        <v>[[Blink]]</v>
      </c>
      <c r="C21">
        <v>3</v>
      </c>
      <c r="D21" t="s">
        <v>718</v>
      </c>
      <c r="E21" t="s">
        <v>710</v>
      </c>
      <c r="F21" t="s">
        <v>738</v>
      </c>
      <c r="G21" t="s">
        <v>720</v>
      </c>
      <c r="H21" t="s">
        <v>721</v>
      </c>
    </row>
    <row r="22" spans="1:9" x14ac:dyDescent="0.25">
      <c r="A22" t="s">
        <v>1065</v>
      </c>
      <c r="B22" t="str">
        <f t="shared" si="0"/>
        <v>[[Blur]]</v>
      </c>
      <c r="C22">
        <v>2</v>
      </c>
      <c r="D22" t="s">
        <v>751</v>
      </c>
      <c r="E22" t="s">
        <v>710</v>
      </c>
      <c r="F22" t="s">
        <v>738</v>
      </c>
      <c r="G22" t="s">
        <v>720</v>
      </c>
      <c r="H22" t="s">
        <v>740</v>
      </c>
      <c r="I22" t="s">
        <v>722</v>
      </c>
    </row>
    <row r="23" spans="1:9" x14ac:dyDescent="0.25">
      <c r="A23" t="s">
        <v>1066</v>
      </c>
      <c r="B23" t="str">
        <f t="shared" si="0"/>
        <v>[[Burning Hands]]</v>
      </c>
      <c r="C23">
        <v>1</v>
      </c>
      <c r="D23" t="s">
        <v>777</v>
      </c>
      <c r="E23" t="s">
        <v>710</v>
      </c>
      <c r="F23" t="s">
        <v>738</v>
      </c>
      <c r="G23" t="s">
        <v>730</v>
      </c>
      <c r="H23" t="s">
        <v>721</v>
      </c>
    </row>
    <row r="24" spans="1:9" x14ac:dyDescent="0.25">
      <c r="A24" t="s">
        <v>1067</v>
      </c>
      <c r="B24" t="str">
        <f t="shared" si="0"/>
        <v>[[Chain Lightning]]</v>
      </c>
      <c r="C24">
        <v>6</v>
      </c>
      <c r="D24" t="s">
        <v>777</v>
      </c>
      <c r="E24" t="s">
        <v>710</v>
      </c>
      <c r="F24" t="s">
        <v>733</v>
      </c>
      <c r="G24" t="s">
        <v>730</v>
      </c>
      <c r="H24" t="s">
        <v>713</v>
      </c>
    </row>
    <row r="25" spans="1:9" x14ac:dyDescent="0.25">
      <c r="A25" t="s">
        <v>742</v>
      </c>
      <c r="B25" t="str">
        <f t="shared" si="0"/>
        <v>[[Charm Monster]]</v>
      </c>
      <c r="C25">
        <v>4</v>
      </c>
      <c r="D25" t="s">
        <v>709</v>
      </c>
      <c r="E25" t="s">
        <v>710</v>
      </c>
      <c r="F25" t="s">
        <v>711</v>
      </c>
      <c r="G25" t="s">
        <v>724</v>
      </c>
      <c r="H25" t="s">
        <v>721</v>
      </c>
    </row>
    <row r="26" spans="1:9" x14ac:dyDescent="0.25">
      <c r="A26" t="s">
        <v>743</v>
      </c>
      <c r="B26" t="str">
        <f t="shared" si="0"/>
        <v>[[Charm Person]]</v>
      </c>
      <c r="C26">
        <v>1</v>
      </c>
      <c r="D26" t="s">
        <v>709</v>
      </c>
      <c r="E26" t="s">
        <v>710</v>
      </c>
      <c r="F26" t="s">
        <v>711</v>
      </c>
      <c r="G26" t="s">
        <v>724</v>
      </c>
      <c r="H26" t="s">
        <v>721</v>
      </c>
    </row>
    <row r="27" spans="1:9" x14ac:dyDescent="0.25">
      <c r="A27" t="s">
        <v>1068</v>
      </c>
      <c r="B27" t="str">
        <f t="shared" si="0"/>
        <v>[[Chill Touch]]</v>
      </c>
      <c r="C27">
        <v>0</v>
      </c>
      <c r="D27" t="s">
        <v>735</v>
      </c>
      <c r="E27" t="s">
        <v>710</v>
      </c>
      <c r="F27" t="s">
        <v>729</v>
      </c>
      <c r="G27" t="s">
        <v>730</v>
      </c>
      <c r="H27" t="s">
        <v>721</v>
      </c>
    </row>
    <row r="28" spans="1:9" x14ac:dyDescent="0.25">
      <c r="A28" t="s">
        <v>1069</v>
      </c>
      <c r="B28" t="str">
        <f t="shared" si="0"/>
        <v>[[Chromatic Orb]]</v>
      </c>
      <c r="C28">
        <v>1</v>
      </c>
      <c r="D28" t="s">
        <v>777</v>
      </c>
      <c r="E28" t="s">
        <v>710</v>
      </c>
      <c r="F28" t="s">
        <v>756</v>
      </c>
      <c r="G28" t="s">
        <v>730</v>
      </c>
      <c r="H28" t="s">
        <v>713</v>
      </c>
    </row>
    <row r="29" spans="1:9" x14ac:dyDescent="0.25">
      <c r="A29" t="s">
        <v>1070</v>
      </c>
      <c r="B29" t="str">
        <f t="shared" si="0"/>
        <v>[[Circle of Death]]</v>
      </c>
      <c r="C29">
        <v>6</v>
      </c>
      <c r="D29" t="s">
        <v>735</v>
      </c>
      <c r="E29" t="s">
        <v>710</v>
      </c>
      <c r="F29" t="s">
        <v>733</v>
      </c>
      <c r="G29" t="s">
        <v>730</v>
      </c>
      <c r="H29" t="s">
        <v>713</v>
      </c>
    </row>
    <row r="30" spans="1:9" x14ac:dyDescent="0.25">
      <c r="A30" t="s">
        <v>908</v>
      </c>
      <c r="B30" t="str">
        <f t="shared" si="0"/>
        <v>[[Circle of Power]]</v>
      </c>
      <c r="C30">
        <v>5</v>
      </c>
      <c r="D30" t="s">
        <v>737</v>
      </c>
      <c r="E30" t="s">
        <v>710</v>
      </c>
      <c r="F30" t="s">
        <v>738</v>
      </c>
      <c r="G30" t="s">
        <v>746</v>
      </c>
      <c r="H30" t="s">
        <v>740</v>
      </c>
      <c r="I30" t="s">
        <v>722</v>
      </c>
    </row>
    <row r="31" spans="1:9" x14ac:dyDescent="0.25">
      <c r="A31" t="s">
        <v>744</v>
      </c>
      <c r="B31" t="str">
        <f t="shared" si="0"/>
        <v>[[Clairvoyance]]</v>
      </c>
      <c r="C31">
        <v>3</v>
      </c>
      <c r="D31" t="s">
        <v>745</v>
      </c>
      <c r="E31" t="s">
        <v>746</v>
      </c>
      <c r="F31" t="s">
        <v>747</v>
      </c>
      <c r="G31" t="s">
        <v>746</v>
      </c>
      <c r="H31" t="s">
        <v>713</v>
      </c>
      <c r="I31" t="s">
        <v>722</v>
      </c>
    </row>
    <row r="32" spans="1:9" x14ac:dyDescent="0.25">
      <c r="A32" t="s">
        <v>1129</v>
      </c>
      <c r="B32" t="str">
        <f t="shared" si="0"/>
        <v>[[Clone]]</v>
      </c>
      <c r="C32">
        <v>8</v>
      </c>
      <c r="D32" t="s">
        <v>735</v>
      </c>
      <c r="E32" t="s">
        <v>724</v>
      </c>
      <c r="F32" t="s">
        <v>729</v>
      </c>
      <c r="G32" t="s">
        <v>730</v>
      </c>
      <c r="H32" t="s">
        <v>713</v>
      </c>
    </row>
    <row r="33" spans="1:10" x14ac:dyDescent="0.25">
      <c r="A33" t="s">
        <v>748</v>
      </c>
      <c r="B33" t="str">
        <f t="shared" si="0"/>
        <v>[[Cloud of Daggers]]</v>
      </c>
      <c r="C33">
        <v>2</v>
      </c>
      <c r="D33" t="s">
        <v>749</v>
      </c>
      <c r="E33" t="s">
        <v>710</v>
      </c>
      <c r="F33" t="s">
        <v>725</v>
      </c>
      <c r="G33" t="s">
        <v>720</v>
      </c>
      <c r="H33" t="s">
        <v>713</v>
      </c>
      <c r="I33" t="s">
        <v>722</v>
      </c>
    </row>
    <row r="34" spans="1:10" x14ac:dyDescent="0.25">
      <c r="A34" t="s">
        <v>1071</v>
      </c>
      <c r="B34" t="str">
        <f t="shared" si="0"/>
        <v>[[Cloudkill]]</v>
      </c>
      <c r="C34">
        <v>5</v>
      </c>
      <c r="D34" t="s">
        <v>749</v>
      </c>
      <c r="E34" t="s">
        <v>710</v>
      </c>
      <c r="F34" t="s">
        <v>719</v>
      </c>
      <c r="G34" t="s">
        <v>746</v>
      </c>
      <c r="H34" t="s">
        <v>721</v>
      </c>
      <c r="I34" t="s">
        <v>722</v>
      </c>
    </row>
    <row r="35" spans="1:10" x14ac:dyDescent="0.25">
      <c r="A35" t="s">
        <v>750</v>
      </c>
      <c r="B35" t="str">
        <f t="shared" si="0"/>
        <v>[[Color Spray]]</v>
      </c>
      <c r="C35">
        <v>1</v>
      </c>
      <c r="D35" t="s">
        <v>751</v>
      </c>
      <c r="E35" t="s">
        <v>710</v>
      </c>
      <c r="F35" t="s">
        <v>738</v>
      </c>
      <c r="G35" t="s">
        <v>730</v>
      </c>
      <c r="H35" t="s">
        <v>713</v>
      </c>
    </row>
    <row r="36" spans="1:10" x14ac:dyDescent="0.25">
      <c r="A36" t="s">
        <v>753</v>
      </c>
      <c r="B36" t="str">
        <f t="shared" si="0"/>
        <v>[[Comprehend Languages]]</v>
      </c>
      <c r="C36">
        <v>1</v>
      </c>
      <c r="D36" t="s">
        <v>745</v>
      </c>
      <c r="E36" t="s">
        <v>715</v>
      </c>
      <c r="F36" t="s">
        <v>738</v>
      </c>
      <c r="G36" t="s">
        <v>724</v>
      </c>
      <c r="H36" t="s">
        <v>713</v>
      </c>
      <c r="J36" t="s">
        <v>716</v>
      </c>
    </row>
    <row r="37" spans="1:10" x14ac:dyDescent="0.25">
      <c r="A37" t="s">
        <v>982</v>
      </c>
      <c r="B37" t="str">
        <f t="shared" si="0"/>
        <v>[[Cone of Cold]]</v>
      </c>
      <c r="C37">
        <v>5</v>
      </c>
      <c r="D37" t="s">
        <v>777</v>
      </c>
      <c r="E37" t="s">
        <v>710</v>
      </c>
      <c r="F37" t="s">
        <v>738</v>
      </c>
      <c r="G37" t="s">
        <v>730</v>
      </c>
      <c r="H37" t="s">
        <v>713</v>
      </c>
    </row>
    <row r="38" spans="1:10" x14ac:dyDescent="0.25">
      <c r="A38" t="s">
        <v>755</v>
      </c>
      <c r="B38" t="str">
        <f t="shared" si="0"/>
        <v>[[Confusion]]</v>
      </c>
      <c r="C38">
        <v>4</v>
      </c>
      <c r="D38" t="s">
        <v>709</v>
      </c>
      <c r="E38" t="s">
        <v>710</v>
      </c>
      <c r="F38" t="s">
        <v>756</v>
      </c>
      <c r="G38" t="s">
        <v>720</v>
      </c>
      <c r="H38" t="s">
        <v>713</v>
      </c>
      <c r="I38" t="s">
        <v>722</v>
      </c>
    </row>
    <row r="39" spans="1:10" x14ac:dyDescent="0.25">
      <c r="A39" t="s">
        <v>984</v>
      </c>
      <c r="B39" t="str">
        <f t="shared" si="0"/>
        <v>[[Conjure Elemental]]</v>
      </c>
      <c r="C39">
        <v>5</v>
      </c>
      <c r="D39" t="s">
        <v>749</v>
      </c>
      <c r="E39" t="s">
        <v>710</v>
      </c>
      <c r="F39" t="s">
        <v>725</v>
      </c>
      <c r="G39" t="s">
        <v>746</v>
      </c>
      <c r="H39" t="s">
        <v>721</v>
      </c>
      <c r="I39" t="s">
        <v>722</v>
      </c>
    </row>
    <row r="40" spans="1:10" x14ac:dyDescent="0.25">
      <c r="A40" t="s">
        <v>986</v>
      </c>
      <c r="B40" t="str">
        <f t="shared" si="0"/>
        <v>[[Conjure Minor Elementals]]</v>
      </c>
      <c r="C40">
        <v>4</v>
      </c>
      <c r="D40" t="s">
        <v>749</v>
      </c>
      <c r="E40" t="s">
        <v>710</v>
      </c>
      <c r="F40" t="s">
        <v>738</v>
      </c>
      <c r="G40" t="s">
        <v>746</v>
      </c>
      <c r="H40" t="s">
        <v>721</v>
      </c>
      <c r="I40" t="s">
        <v>722</v>
      </c>
    </row>
    <row r="41" spans="1:10" x14ac:dyDescent="0.25">
      <c r="A41" t="s">
        <v>1114</v>
      </c>
      <c r="B41" t="str">
        <f t="shared" si="0"/>
        <v>[[Contact Other Plane]]</v>
      </c>
      <c r="C41">
        <v>5</v>
      </c>
      <c r="D41" t="s">
        <v>745</v>
      </c>
      <c r="E41" t="s">
        <v>812</v>
      </c>
      <c r="F41" t="s">
        <v>738</v>
      </c>
      <c r="G41" t="s">
        <v>720</v>
      </c>
      <c r="H41" t="s">
        <v>740</v>
      </c>
      <c r="J41" t="s">
        <v>716</v>
      </c>
    </row>
    <row r="42" spans="1:10" x14ac:dyDescent="0.25">
      <c r="A42" t="s">
        <v>1130</v>
      </c>
      <c r="B42" t="str">
        <f t="shared" si="0"/>
        <v>[[Contingency]]</v>
      </c>
      <c r="C42">
        <v>6</v>
      </c>
      <c r="D42" t="s">
        <v>737</v>
      </c>
      <c r="E42" t="s">
        <v>746</v>
      </c>
      <c r="F42" t="s">
        <v>738</v>
      </c>
      <c r="G42" t="s">
        <v>726</v>
      </c>
      <c r="H42" t="s">
        <v>713</v>
      </c>
    </row>
    <row r="43" spans="1:10" x14ac:dyDescent="0.25">
      <c r="A43" t="s">
        <v>913</v>
      </c>
      <c r="B43" t="str">
        <f t="shared" si="0"/>
        <v>[[Continual Flame]]</v>
      </c>
      <c r="C43">
        <v>2</v>
      </c>
      <c r="D43" t="s">
        <v>777</v>
      </c>
      <c r="E43" t="s">
        <v>710</v>
      </c>
      <c r="F43" t="s">
        <v>729</v>
      </c>
      <c r="G43" t="s">
        <v>826</v>
      </c>
      <c r="H43" t="s">
        <v>713</v>
      </c>
    </row>
    <row r="44" spans="1:10" x14ac:dyDescent="0.25">
      <c r="A44" t="s">
        <v>914</v>
      </c>
      <c r="B44" t="str">
        <f t="shared" si="0"/>
        <v>[[Control Water]]</v>
      </c>
      <c r="C44">
        <v>4</v>
      </c>
      <c r="D44" t="s">
        <v>718</v>
      </c>
      <c r="E44" t="s">
        <v>710</v>
      </c>
      <c r="F44" t="s">
        <v>802</v>
      </c>
      <c r="G44" t="s">
        <v>746</v>
      </c>
      <c r="H44" t="s">
        <v>713</v>
      </c>
      <c r="I44" t="s">
        <v>722</v>
      </c>
    </row>
    <row r="45" spans="1:10" x14ac:dyDescent="0.25">
      <c r="A45" t="s">
        <v>915</v>
      </c>
      <c r="B45" t="str">
        <f t="shared" si="0"/>
        <v>[[Control Weather]]</v>
      </c>
      <c r="C45">
        <v>8</v>
      </c>
      <c r="D45" t="s">
        <v>718</v>
      </c>
      <c r="E45" t="s">
        <v>746</v>
      </c>
      <c r="F45" t="s">
        <v>738</v>
      </c>
      <c r="G45" t="s">
        <v>728</v>
      </c>
      <c r="H45" t="s">
        <v>713</v>
      </c>
      <c r="I45" t="s">
        <v>722</v>
      </c>
    </row>
    <row r="46" spans="1:10" x14ac:dyDescent="0.25">
      <c r="A46" t="s">
        <v>1072</v>
      </c>
      <c r="B46" t="str">
        <f t="shared" si="0"/>
        <v>[[Counterspell]]</v>
      </c>
      <c r="C46">
        <v>3</v>
      </c>
      <c r="D46" t="s">
        <v>737</v>
      </c>
      <c r="E46" t="s">
        <v>780</v>
      </c>
      <c r="F46" t="s">
        <v>725</v>
      </c>
      <c r="G46" t="s">
        <v>730</v>
      </c>
      <c r="H46" t="s">
        <v>840</v>
      </c>
    </row>
    <row r="47" spans="1:10" x14ac:dyDescent="0.25">
      <c r="A47" t="s">
        <v>918</v>
      </c>
      <c r="B47" t="str">
        <f t="shared" si="0"/>
        <v>[[Create Undead]]</v>
      </c>
      <c r="C47">
        <v>6</v>
      </c>
      <c r="D47" t="s">
        <v>735</v>
      </c>
      <c r="E47" t="s">
        <v>720</v>
      </c>
      <c r="F47" t="s">
        <v>791</v>
      </c>
      <c r="G47" t="s">
        <v>730</v>
      </c>
      <c r="H47" t="s">
        <v>713</v>
      </c>
    </row>
    <row r="48" spans="1:10" x14ac:dyDescent="0.25">
      <c r="A48" t="s">
        <v>1073</v>
      </c>
      <c r="B48" t="str">
        <f t="shared" si="0"/>
        <v>[[Creation]]</v>
      </c>
      <c r="C48">
        <v>5</v>
      </c>
      <c r="D48" t="s">
        <v>751</v>
      </c>
      <c r="E48" t="s">
        <v>720</v>
      </c>
      <c r="F48" t="s">
        <v>711</v>
      </c>
      <c r="G48" t="s">
        <v>770</v>
      </c>
      <c r="H48" t="s">
        <v>713</v>
      </c>
    </row>
    <row r="49" spans="1:10" x14ac:dyDescent="0.25">
      <c r="A49" t="s">
        <v>757</v>
      </c>
      <c r="B49" t="str">
        <f t="shared" si="0"/>
        <v>[[Crown of Madness]]</v>
      </c>
      <c r="C49">
        <v>2</v>
      </c>
      <c r="D49" t="s">
        <v>709</v>
      </c>
      <c r="E49" t="s">
        <v>710</v>
      </c>
      <c r="F49" t="s">
        <v>719</v>
      </c>
      <c r="G49" t="s">
        <v>720</v>
      </c>
      <c r="H49" t="s">
        <v>721</v>
      </c>
      <c r="I49" t="s">
        <v>722</v>
      </c>
    </row>
    <row r="50" spans="1:10" x14ac:dyDescent="0.25">
      <c r="A50" t="s">
        <v>759</v>
      </c>
      <c r="B50" t="str">
        <f t="shared" si="0"/>
        <v>[[Dancing Lights]]</v>
      </c>
      <c r="C50">
        <v>0</v>
      </c>
      <c r="D50" t="s">
        <v>751</v>
      </c>
      <c r="E50" t="s">
        <v>710</v>
      </c>
      <c r="F50" t="s">
        <v>719</v>
      </c>
      <c r="G50" t="s">
        <v>720</v>
      </c>
      <c r="H50" t="s">
        <v>713</v>
      </c>
      <c r="I50" t="s">
        <v>722</v>
      </c>
    </row>
    <row r="51" spans="1:10" x14ac:dyDescent="0.25">
      <c r="A51" t="s">
        <v>1074</v>
      </c>
      <c r="B51" t="str">
        <f t="shared" si="0"/>
        <v>[[Darkness]]</v>
      </c>
      <c r="C51">
        <v>2</v>
      </c>
      <c r="D51" t="s">
        <v>777</v>
      </c>
      <c r="E51" t="s">
        <v>710</v>
      </c>
      <c r="F51" t="s">
        <v>725</v>
      </c>
      <c r="G51" t="s">
        <v>746</v>
      </c>
      <c r="H51" t="s">
        <v>781</v>
      </c>
      <c r="I51" t="s">
        <v>722</v>
      </c>
    </row>
    <row r="52" spans="1:10" x14ac:dyDescent="0.25">
      <c r="A52" t="s">
        <v>988</v>
      </c>
      <c r="B52" t="str">
        <f t="shared" si="0"/>
        <v>[[Darkvision]]</v>
      </c>
      <c r="C52">
        <v>2</v>
      </c>
      <c r="D52" t="s">
        <v>718</v>
      </c>
      <c r="E52" t="s">
        <v>710</v>
      </c>
      <c r="F52" t="s">
        <v>729</v>
      </c>
      <c r="G52" t="s">
        <v>728</v>
      </c>
      <c r="H52" t="s">
        <v>713</v>
      </c>
    </row>
    <row r="53" spans="1:10" x14ac:dyDescent="0.25">
      <c r="A53" t="s">
        <v>1075</v>
      </c>
      <c r="B53" t="str">
        <f t="shared" si="0"/>
        <v>[[Delayed Blast Fireball]]</v>
      </c>
      <c r="C53">
        <v>7</v>
      </c>
      <c r="D53" t="s">
        <v>777</v>
      </c>
      <c r="E53" t="s">
        <v>710</v>
      </c>
      <c r="F53" t="s">
        <v>733</v>
      </c>
      <c r="G53" t="s">
        <v>720</v>
      </c>
      <c r="H53" t="s">
        <v>713</v>
      </c>
      <c r="I53" t="s">
        <v>722</v>
      </c>
    </row>
    <row r="54" spans="1:10" x14ac:dyDescent="0.25">
      <c r="A54" t="s">
        <v>1076</v>
      </c>
      <c r="B54" t="str">
        <f t="shared" si="0"/>
        <v>[[Demiplane]]</v>
      </c>
      <c r="C54">
        <v>8</v>
      </c>
      <c r="D54" t="s">
        <v>749</v>
      </c>
      <c r="E54" t="s">
        <v>710</v>
      </c>
      <c r="F54" t="s">
        <v>725</v>
      </c>
      <c r="G54" t="s">
        <v>724</v>
      </c>
      <c r="H54" t="s">
        <v>840</v>
      </c>
    </row>
    <row r="55" spans="1:10" x14ac:dyDescent="0.25">
      <c r="A55" t="s">
        <v>760</v>
      </c>
      <c r="B55" t="str">
        <f t="shared" si="0"/>
        <v>[[Detect Magic]]</v>
      </c>
      <c r="C55">
        <v>1</v>
      </c>
      <c r="D55" t="s">
        <v>745</v>
      </c>
      <c r="E55" t="s">
        <v>715</v>
      </c>
      <c r="F55" t="s">
        <v>738</v>
      </c>
      <c r="G55" t="s">
        <v>746</v>
      </c>
      <c r="H55" t="s">
        <v>721</v>
      </c>
      <c r="I55" t="s">
        <v>722</v>
      </c>
      <c r="J55" t="s">
        <v>716</v>
      </c>
    </row>
    <row r="56" spans="1:10" x14ac:dyDescent="0.25">
      <c r="A56" t="s">
        <v>761</v>
      </c>
      <c r="B56" t="str">
        <f t="shared" si="0"/>
        <v>[[Detect Thoughts]]</v>
      </c>
      <c r="C56">
        <v>2</v>
      </c>
      <c r="D56" t="s">
        <v>745</v>
      </c>
      <c r="E56" t="s">
        <v>710</v>
      </c>
      <c r="F56" t="s">
        <v>738</v>
      </c>
      <c r="G56" t="s">
        <v>720</v>
      </c>
      <c r="H56" t="s">
        <v>713</v>
      </c>
      <c r="I56" t="s">
        <v>722</v>
      </c>
    </row>
    <row r="57" spans="1:10" x14ac:dyDescent="0.25">
      <c r="A57" t="s">
        <v>762</v>
      </c>
      <c r="B57" t="str">
        <f t="shared" si="0"/>
        <v>[[Dimension Door]]</v>
      </c>
      <c r="C57">
        <v>4</v>
      </c>
      <c r="D57" t="s">
        <v>749</v>
      </c>
      <c r="E57" t="s">
        <v>710</v>
      </c>
      <c r="F57" t="s">
        <v>763</v>
      </c>
      <c r="G57" t="s">
        <v>730</v>
      </c>
      <c r="H57" t="s">
        <v>740</v>
      </c>
    </row>
    <row r="58" spans="1:10" x14ac:dyDescent="0.25">
      <c r="A58" t="s">
        <v>764</v>
      </c>
      <c r="B58" t="str">
        <f t="shared" si="0"/>
        <v>[[Disguise Self]]</v>
      </c>
      <c r="C58">
        <v>1</v>
      </c>
      <c r="D58" t="s">
        <v>751</v>
      </c>
      <c r="E58" t="s">
        <v>710</v>
      </c>
      <c r="F58" t="s">
        <v>738</v>
      </c>
      <c r="G58" t="s">
        <v>724</v>
      </c>
      <c r="H58" t="s">
        <v>721</v>
      </c>
    </row>
    <row r="59" spans="1:10" x14ac:dyDescent="0.25">
      <c r="A59" t="s">
        <v>1077</v>
      </c>
      <c r="B59" t="str">
        <f t="shared" si="0"/>
        <v>[[Disintegrate]]</v>
      </c>
      <c r="C59">
        <v>6</v>
      </c>
      <c r="D59" t="s">
        <v>718</v>
      </c>
      <c r="E59" t="s">
        <v>710</v>
      </c>
      <c r="F59" t="s">
        <v>725</v>
      </c>
      <c r="G59" t="s">
        <v>730</v>
      </c>
      <c r="H59" t="s">
        <v>713</v>
      </c>
    </row>
    <row r="60" spans="1:10" x14ac:dyDescent="0.25">
      <c r="A60" t="s">
        <v>765</v>
      </c>
      <c r="B60" t="str">
        <f t="shared" si="0"/>
        <v>[[Dispel Magic]]</v>
      </c>
      <c r="C60">
        <v>3</v>
      </c>
      <c r="D60" t="s">
        <v>737</v>
      </c>
      <c r="E60" t="s">
        <v>710</v>
      </c>
      <c r="F60" t="s">
        <v>719</v>
      </c>
      <c r="G60" t="s">
        <v>730</v>
      </c>
      <c r="H60" t="s">
        <v>721</v>
      </c>
    </row>
    <row r="61" spans="1:10" x14ac:dyDescent="0.25">
      <c r="A61" t="s">
        <v>924</v>
      </c>
      <c r="B61" t="str">
        <f t="shared" si="0"/>
        <v>[[Divination]]</v>
      </c>
      <c r="C61">
        <v>4</v>
      </c>
      <c r="D61" t="s">
        <v>745</v>
      </c>
      <c r="E61" t="s">
        <v>715</v>
      </c>
      <c r="F61" t="s">
        <v>738</v>
      </c>
      <c r="G61" t="s">
        <v>730</v>
      </c>
      <c r="H61" t="s">
        <v>713</v>
      </c>
      <c r="J61" t="s">
        <v>716</v>
      </c>
    </row>
    <row r="62" spans="1:10" x14ac:dyDescent="0.25">
      <c r="A62" t="s">
        <v>767</v>
      </c>
      <c r="B62" t="str">
        <f t="shared" si="0"/>
        <v>[[Dominate Monster]]</v>
      </c>
      <c r="C62">
        <v>8</v>
      </c>
      <c r="D62" t="s">
        <v>709</v>
      </c>
      <c r="E62" t="s">
        <v>710</v>
      </c>
      <c r="F62" t="s">
        <v>725</v>
      </c>
      <c r="G62" t="s">
        <v>724</v>
      </c>
      <c r="H62" t="s">
        <v>721</v>
      </c>
      <c r="I62" t="s">
        <v>722</v>
      </c>
    </row>
    <row r="63" spans="1:10" x14ac:dyDescent="0.25">
      <c r="A63" t="s">
        <v>768</v>
      </c>
      <c r="B63" t="str">
        <f t="shared" si="0"/>
        <v>[[Dominate Person]]</v>
      </c>
      <c r="C63">
        <v>5</v>
      </c>
      <c r="D63" t="s">
        <v>709</v>
      </c>
      <c r="E63" t="s">
        <v>710</v>
      </c>
      <c r="F63" t="s">
        <v>725</v>
      </c>
      <c r="G63" t="s">
        <v>720</v>
      </c>
      <c r="H63" t="s">
        <v>721</v>
      </c>
      <c r="I63" t="s">
        <v>722</v>
      </c>
    </row>
    <row r="64" spans="1:10" x14ac:dyDescent="0.25">
      <c r="A64" t="s">
        <v>1078</v>
      </c>
      <c r="B64" t="str">
        <f t="shared" si="0"/>
        <v>[[Dragon's Breath]]</v>
      </c>
      <c r="C64">
        <v>2</v>
      </c>
      <c r="D64" t="s">
        <v>718</v>
      </c>
      <c r="E64" t="s">
        <v>804</v>
      </c>
      <c r="F64" t="s">
        <v>729</v>
      </c>
      <c r="G64" t="s">
        <v>720</v>
      </c>
      <c r="H64" t="s">
        <v>713</v>
      </c>
      <c r="I64" t="s">
        <v>722</v>
      </c>
    </row>
    <row r="65" spans="1:10" x14ac:dyDescent="0.25">
      <c r="A65" t="s">
        <v>1131</v>
      </c>
      <c r="B65" t="str">
        <f t="shared" ref="B65:B128" si="1">"[["&amp;A65&amp;"]]"</f>
        <v>[[Drawmij's Instant Summons]]</v>
      </c>
      <c r="C65">
        <v>6</v>
      </c>
      <c r="D65" t="s">
        <v>749</v>
      </c>
      <c r="E65" t="s">
        <v>812</v>
      </c>
      <c r="F65" t="s">
        <v>729</v>
      </c>
      <c r="G65" t="s">
        <v>826</v>
      </c>
      <c r="H65" t="s">
        <v>713</v>
      </c>
      <c r="J65" t="s">
        <v>716</v>
      </c>
    </row>
    <row r="66" spans="1:10" x14ac:dyDescent="0.25">
      <c r="A66" t="s">
        <v>769</v>
      </c>
      <c r="B66" t="str">
        <f t="shared" si="1"/>
        <v>[[Dream]]</v>
      </c>
      <c r="C66">
        <v>5</v>
      </c>
      <c r="D66" t="s">
        <v>751</v>
      </c>
      <c r="E66" t="s">
        <v>720</v>
      </c>
      <c r="F66" t="s">
        <v>770</v>
      </c>
      <c r="G66" t="s">
        <v>728</v>
      </c>
      <c r="H66" t="s">
        <v>713</v>
      </c>
    </row>
    <row r="67" spans="1:10" x14ac:dyDescent="0.25">
      <c r="A67" t="s">
        <v>992</v>
      </c>
      <c r="B67" t="str">
        <f t="shared" si="1"/>
        <v>[[Elementalism]]</v>
      </c>
      <c r="C67">
        <v>0</v>
      </c>
      <c r="D67" t="s">
        <v>718</v>
      </c>
      <c r="E67" t="s">
        <v>710</v>
      </c>
      <c r="F67" t="s">
        <v>711</v>
      </c>
      <c r="G67" t="s">
        <v>730</v>
      </c>
      <c r="H67" t="s">
        <v>721</v>
      </c>
    </row>
    <row r="68" spans="1:10" x14ac:dyDescent="0.25">
      <c r="A68" t="s">
        <v>771</v>
      </c>
      <c r="B68" t="str">
        <f t="shared" si="1"/>
        <v>[[Enhance Ability]]</v>
      </c>
      <c r="C68">
        <v>2</v>
      </c>
      <c r="D68" t="s">
        <v>718</v>
      </c>
      <c r="E68" t="s">
        <v>710</v>
      </c>
      <c r="F68" t="s">
        <v>729</v>
      </c>
      <c r="G68" t="s">
        <v>724</v>
      </c>
      <c r="H68" t="s">
        <v>713</v>
      </c>
      <c r="I68" t="s">
        <v>722</v>
      </c>
    </row>
    <row r="69" spans="1:10" x14ac:dyDescent="0.25">
      <c r="A69" t="s">
        <v>772</v>
      </c>
      <c r="B69" t="str">
        <f t="shared" si="1"/>
        <v>[[Enlarge/Reduce]]</v>
      </c>
      <c r="C69">
        <v>2</v>
      </c>
      <c r="D69" t="s">
        <v>718</v>
      </c>
      <c r="E69" t="s">
        <v>710</v>
      </c>
      <c r="F69" t="s">
        <v>711</v>
      </c>
      <c r="G69" t="s">
        <v>720</v>
      </c>
      <c r="H69" t="s">
        <v>713</v>
      </c>
      <c r="I69" t="s">
        <v>722</v>
      </c>
    </row>
    <row r="70" spans="1:10" x14ac:dyDescent="0.25">
      <c r="A70" t="s">
        <v>774</v>
      </c>
      <c r="B70" t="str">
        <f t="shared" si="1"/>
        <v>[[Etherealness]]</v>
      </c>
      <c r="C70">
        <v>7</v>
      </c>
      <c r="D70" t="s">
        <v>749</v>
      </c>
      <c r="E70" t="s">
        <v>710</v>
      </c>
      <c r="F70" t="s">
        <v>738</v>
      </c>
      <c r="G70" t="s">
        <v>728</v>
      </c>
      <c r="H70" t="s">
        <v>721</v>
      </c>
    </row>
    <row r="71" spans="1:10" x14ac:dyDescent="0.25">
      <c r="A71" t="s">
        <v>1132</v>
      </c>
      <c r="B71" t="str">
        <f t="shared" si="1"/>
        <v>[[Evard's Black Tentacles]]</v>
      </c>
      <c r="C71">
        <v>4</v>
      </c>
      <c r="D71" t="s">
        <v>749</v>
      </c>
      <c r="E71" t="s">
        <v>710</v>
      </c>
      <c r="F71" t="s">
        <v>756</v>
      </c>
      <c r="G71" t="s">
        <v>720</v>
      </c>
      <c r="H71" t="s">
        <v>713</v>
      </c>
      <c r="I71" t="s">
        <v>722</v>
      </c>
    </row>
    <row r="72" spans="1:10" x14ac:dyDescent="0.25">
      <c r="A72" t="s">
        <v>1079</v>
      </c>
      <c r="B72" t="str">
        <f t="shared" si="1"/>
        <v>[[Expeditious Retreat]]</v>
      </c>
      <c r="C72">
        <v>1</v>
      </c>
      <c r="D72" t="s">
        <v>718</v>
      </c>
      <c r="E72" t="s">
        <v>804</v>
      </c>
      <c r="F72" t="s">
        <v>738</v>
      </c>
      <c r="G72" t="s">
        <v>746</v>
      </c>
      <c r="H72" t="s">
        <v>721</v>
      </c>
      <c r="I72" t="s">
        <v>722</v>
      </c>
    </row>
    <row r="73" spans="1:10" x14ac:dyDescent="0.25">
      <c r="A73" t="s">
        <v>775</v>
      </c>
      <c r="B73" t="str">
        <f t="shared" si="1"/>
        <v>[[Eyebite]]</v>
      </c>
      <c r="C73">
        <v>6</v>
      </c>
      <c r="D73" t="s">
        <v>735</v>
      </c>
      <c r="E73" t="s">
        <v>710</v>
      </c>
      <c r="F73" t="s">
        <v>738</v>
      </c>
      <c r="G73" t="s">
        <v>720</v>
      </c>
      <c r="H73" t="s">
        <v>721</v>
      </c>
      <c r="I73" t="s">
        <v>722</v>
      </c>
    </row>
    <row r="74" spans="1:10" x14ac:dyDescent="0.25">
      <c r="A74" t="s">
        <v>1133</v>
      </c>
      <c r="B74" t="str">
        <f t="shared" si="1"/>
        <v>[[Fabricate]]</v>
      </c>
      <c r="C74">
        <v>4</v>
      </c>
      <c r="D74" t="s">
        <v>718</v>
      </c>
      <c r="E74" t="s">
        <v>746</v>
      </c>
      <c r="F74" t="s">
        <v>719</v>
      </c>
      <c r="G74" t="s">
        <v>730</v>
      </c>
      <c r="H74" t="s">
        <v>721</v>
      </c>
    </row>
    <row r="75" spans="1:10" x14ac:dyDescent="0.25">
      <c r="A75" t="s">
        <v>1080</v>
      </c>
      <c r="B75" t="str">
        <f t="shared" si="1"/>
        <v>[[False Life]]</v>
      </c>
      <c r="C75">
        <v>1</v>
      </c>
      <c r="D75" t="s">
        <v>735</v>
      </c>
      <c r="E75" t="s">
        <v>710</v>
      </c>
      <c r="F75" t="s">
        <v>738</v>
      </c>
      <c r="G75" t="s">
        <v>730</v>
      </c>
      <c r="H75" t="s">
        <v>713</v>
      </c>
    </row>
    <row r="76" spans="1:10" x14ac:dyDescent="0.25">
      <c r="A76" t="s">
        <v>778</v>
      </c>
      <c r="B76" t="str">
        <f t="shared" si="1"/>
        <v>[[Fear]]</v>
      </c>
      <c r="C76">
        <v>3</v>
      </c>
      <c r="D76" t="s">
        <v>751</v>
      </c>
      <c r="E76" t="s">
        <v>710</v>
      </c>
      <c r="F76" t="s">
        <v>738</v>
      </c>
      <c r="G76" t="s">
        <v>720</v>
      </c>
      <c r="H76" t="s">
        <v>713</v>
      </c>
      <c r="I76" t="s">
        <v>722</v>
      </c>
    </row>
    <row r="77" spans="1:10" x14ac:dyDescent="0.25">
      <c r="A77" t="s">
        <v>779</v>
      </c>
      <c r="B77" t="str">
        <f t="shared" si="1"/>
        <v>[[Feather Fall]]</v>
      </c>
      <c r="C77">
        <v>1</v>
      </c>
      <c r="D77" t="s">
        <v>718</v>
      </c>
      <c r="E77" t="s">
        <v>780</v>
      </c>
      <c r="F77" t="s">
        <v>725</v>
      </c>
      <c r="G77" t="s">
        <v>720</v>
      </c>
      <c r="H77" t="s">
        <v>781</v>
      </c>
    </row>
    <row r="78" spans="1:10" x14ac:dyDescent="0.25">
      <c r="A78" t="s">
        <v>782</v>
      </c>
      <c r="B78" t="str">
        <f t="shared" si="1"/>
        <v>[[Feign Death]]</v>
      </c>
      <c r="C78">
        <v>3</v>
      </c>
      <c r="D78" t="s">
        <v>735</v>
      </c>
      <c r="E78" t="s">
        <v>715</v>
      </c>
      <c r="F78" t="s">
        <v>729</v>
      </c>
      <c r="G78" t="s">
        <v>724</v>
      </c>
      <c r="H78" t="s">
        <v>713</v>
      </c>
      <c r="J78" t="s">
        <v>716</v>
      </c>
    </row>
    <row r="79" spans="1:10" x14ac:dyDescent="0.25">
      <c r="A79" t="s">
        <v>1134</v>
      </c>
      <c r="B79" t="str">
        <f t="shared" si="1"/>
        <v>[[Find Familiar]]</v>
      </c>
      <c r="C79">
        <v>1</v>
      </c>
      <c r="D79" t="s">
        <v>749</v>
      </c>
      <c r="E79" t="s">
        <v>1135</v>
      </c>
      <c r="F79" t="s">
        <v>791</v>
      </c>
      <c r="G79" t="s">
        <v>730</v>
      </c>
      <c r="H79" t="s">
        <v>713</v>
      </c>
      <c r="J79" t="s">
        <v>716</v>
      </c>
    </row>
    <row r="80" spans="1:10" x14ac:dyDescent="0.25">
      <c r="A80" t="s">
        <v>1081</v>
      </c>
      <c r="B80" t="str">
        <f t="shared" si="1"/>
        <v>[[Finger of Death]]</v>
      </c>
      <c r="C80">
        <v>7</v>
      </c>
      <c r="D80" t="s">
        <v>735</v>
      </c>
      <c r="E80" t="s">
        <v>710</v>
      </c>
      <c r="F80" t="s">
        <v>725</v>
      </c>
      <c r="G80" t="s">
        <v>730</v>
      </c>
      <c r="H80" t="s">
        <v>721</v>
      </c>
    </row>
    <row r="81" spans="1:10" x14ac:dyDescent="0.25">
      <c r="A81" t="s">
        <v>1082</v>
      </c>
      <c r="B81" t="str">
        <f t="shared" si="1"/>
        <v>[[Fire Bolt]]</v>
      </c>
      <c r="C81">
        <v>0</v>
      </c>
      <c r="D81" t="s">
        <v>777</v>
      </c>
      <c r="E81" t="s">
        <v>710</v>
      </c>
      <c r="F81" t="s">
        <v>719</v>
      </c>
      <c r="G81" t="s">
        <v>730</v>
      </c>
      <c r="H81" t="s">
        <v>721</v>
      </c>
    </row>
    <row r="82" spans="1:10" x14ac:dyDescent="0.25">
      <c r="A82" t="s">
        <v>994</v>
      </c>
      <c r="B82" t="str">
        <f t="shared" si="1"/>
        <v>[[Fire Shield]]</v>
      </c>
      <c r="C82">
        <v>4</v>
      </c>
      <c r="D82" t="s">
        <v>777</v>
      </c>
      <c r="E82" t="s">
        <v>710</v>
      </c>
      <c r="F82" t="s">
        <v>738</v>
      </c>
      <c r="G82" t="s">
        <v>746</v>
      </c>
      <c r="H82" t="s">
        <v>713</v>
      </c>
    </row>
    <row r="83" spans="1:10" x14ac:dyDescent="0.25">
      <c r="A83" t="s">
        <v>1083</v>
      </c>
      <c r="B83" t="str">
        <f t="shared" si="1"/>
        <v>[[Fireball]]</v>
      </c>
      <c r="C83">
        <v>3</v>
      </c>
      <c r="D83" t="s">
        <v>777</v>
      </c>
      <c r="E83" t="s">
        <v>710</v>
      </c>
      <c r="F83" t="s">
        <v>733</v>
      </c>
      <c r="G83" t="s">
        <v>730</v>
      </c>
      <c r="H83" t="s">
        <v>713</v>
      </c>
    </row>
    <row r="84" spans="1:10" x14ac:dyDescent="0.25">
      <c r="A84" t="s">
        <v>996</v>
      </c>
      <c r="B84" t="str">
        <f t="shared" si="1"/>
        <v>[[Flaming Sphere]]</v>
      </c>
      <c r="C84">
        <v>2</v>
      </c>
      <c r="D84" t="s">
        <v>749</v>
      </c>
      <c r="E84" t="s">
        <v>710</v>
      </c>
      <c r="F84" t="s">
        <v>725</v>
      </c>
      <c r="G84" t="s">
        <v>720</v>
      </c>
      <c r="H84" t="s">
        <v>713</v>
      </c>
      <c r="I84" t="s">
        <v>722</v>
      </c>
    </row>
    <row r="85" spans="1:10" x14ac:dyDescent="0.25">
      <c r="A85" t="s">
        <v>997</v>
      </c>
      <c r="B85" t="str">
        <f t="shared" si="1"/>
        <v>[[Flesh to Stone]]</v>
      </c>
      <c r="C85">
        <v>6</v>
      </c>
      <c r="D85" t="s">
        <v>718</v>
      </c>
      <c r="E85" t="s">
        <v>710</v>
      </c>
      <c r="F85" t="s">
        <v>725</v>
      </c>
      <c r="G85" t="s">
        <v>720</v>
      </c>
      <c r="H85" t="s">
        <v>713</v>
      </c>
      <c r="I85" t="s">
        <v>722</v>
      </c>
    </row>
    <row r="86" spans="1:10" x14ac:dyDescent="0.25">
      <c r="A86" t="s">
        <v>1084</v>
      </c>
      <c r="B86" t="str">
        <f t="shared" si="1"/>
        <v>[[Fly]]</v>
      </c>
      <c r="C86">
        <v>3</v>
      </c>
      <c r="D86" t="s">
        <v>718</v>
      </c>
      <c r="E86" t="s">
        <v>710</v>
      </c>
      <c r="F86" t="s">
        <v>729</v>
      </c>
      <c r="G86" t="s">
        <v>746</v>
      </c>
      <c r="H86" t="s">
        <v>713</v>
      </c>
      <c r="I86" t="s">
        <v>722</v>
      </c>
    </row>
    <row r="87" spans="1:10" x14ac:dyDescent="0.25">
      <c r="A87" t="s">
        <v>998</v>
      </c>
      <c r="B87" t="str">
        <f t="shared" si="1"/>
        <v>[[Fog Cloud]]</v>
      </c>
      <c r="C87">
        <v>1</v>
      </c>
      <c r="D87" t="s">
        <v>749</v>
      </c>
      <c r="E87" t="s">
        <v>710</v>
      </c>
      <c r="F87" t="s">
        <v>719</v>
      </c>
      <c r="G87" t="s">
        <v>724</v>
      </c>
      <c r="H87" t="s">
        <v>721</v>
      </c>
      <c r="I87" t="s">
        <v>722</v>
      </c>
    </row>
    <row r="88" spans="1:10" x14ac:dyDescent="0.25">
      <c r="A88" t="s">
        <v>785</v>
      </c>
      <c r="B88" t="str">
        <f t="shared" si="1"/>
        <v>[[Forcecage]]</v>
      </c>
      <c r="C88">
        <v>7</v>
      </c>
      <c r="D88" t="s">
        <v>777</v>
      </c>
      <c r="E88" t="s">
        <v>710</v>
      </c>
      <c r="F88" t="s">
        <v>786</v>
      </c>
      <c r="G88" t="s">
        <v>724</v>
      </c>
      <c r="H88" t="s">
        <v>713</v>
      </c>
    </row>
    <row r="89" spans="1:10" x14ac:dyDescent="0.25">
      <c r="A89" t="s">
        <v>787</v>
      </c>
      <c r="B89" t="str">
        <f t="shared" si="1"/>
        <v>[[Foresight]]</v>
      </c>
      <c r="C89">
        <v>9</v>
      </c>
      <c r="D89" t="s">
        <v>745</v>
      </c>
      <c r="E89" t="s">
        <v>720</v>
      </c>
      <c r="F89" t="s">
        <v>729</v>
      </c>
      <c r="G89" t="s">
        <v>728</v>
      </c>
      <c r="H89" t="s">
        <v>713</v>
      </c>
    </row>
    <row r="90" spans="1:10" x14ac:dyDescent="0.25">
      <c r="A90" t="s">
        <v>790</v>
      </c>
      <c r="B90" t="str">
        <f t="shared" si="1"/>
        <v>[[Friends]]</v>
      </c>
      <c r="C90">
        <v>0</v>
      </c>
      <c r="D90" t="s">
        <v>709</v>
      </c>
      <c r="E90" t="s">
        <v>710</v>
      </c>
      <c r="F90" t="s">
        <v>791</v>
      </c>
      <c r="G90" t="s">
        <v>720</v>
      </c>
      <c r="H90" t="s">
        <v>792</v>
      </c>
      <c r="I90" t="s">
        <v>722</v>
      </c>
    </row>
    <row r="91" spans="1:10" x14ac:dyDescent="0.25">
      <c r="A91" t="s">
        <v>1085</v>
      </c>
      <c r="B91" t="str">
        <f t="shared" si="1"/>
        <v>[[Gaseous Form]]</v>
      </c>
      <c r="C91">
        <v>3</v>
      </c>
      <c r="D91" t="s">
        <v>718</v>
      </c>
      <c r="E91" t="s">
        <v>710</v>
      </c>
      <c r="F91" t="s">
        <v>729</v>
      </c>
      <c r="G91" t="s">
        <v>724</v>
      </c>
      <c r="H91" t="s">
        <v>713</v>
      </c>
      <c r="I91" t="s">
        <v>722</v>
      </c>
    </row>
    <row r="92" spans="1:10" x14ac:dyDescent="0.25">
      <c r="A92" t="s">
        <v>932</v>
      </c>
      <c r="B92" t="str">
        <f t="shared" si="1"/>
        <v>[[Gate]]</v>
      </c>
      <c r="C92">
        <v>9</v>
      </c>
      <c r="D92" t="s">
        <v>749</v>
      </c>
      <c r="E92" t="s">
        <v>710</v>
      </c>
      <c r="F92" t="s">
        <v>725</v>
      </c>
      <c r="G92" t="s">
        <v>720</v>
      </c>
      <c r="H92" t="s">
        <v>713</v>
      </c>
      <c r="I92" t="s">
        <v>722</v>
      </c>
    </row>
    <row r="93" spans="1:10" x14ac:dyDescent="0.25">
      <c r="A93" t="s">
        <v>793</v>
      </c>
      <c r="B93" t="str">
        <f t="shared" si="1"/>
        <v>[[Geas]]</v>
      </c>
      <c r="C93">
        <v>5</v>
      </c>
      <c r="D93" t="s">
        <v>709</v>
      </c>
      <c r="E93" t="s">
        <v>720</v>
      </c>
      <c r="F93" t="s">
        <v>725</v>
      </c>
      <c r="G93" t="s">
        <v>794</v>
      </c>
      <c r="H93" t="s">
        <v>740</v>
      </c>
    </row>
    <row r="94" spans="1:10" x14ac:dyDescent="0.25">
      <c r="A94" t="s">
        <v>933</v>
      </c>
      <c r="B94" t="str">
        <f t="shared" si="1"/>
        <v>[[Gentle Repose]]</v>
      </c>
      <c r="C94">
        <v>2</v>
      </c>
      <c r="D94" t="s">
        <v>735</v>
      </c>
      <c r="E94" t="s">
        <v>715</v>
      </c>
      <c r="F94" t="s">
        <v>729</v>
      </c>
      <c r="G94" t="s">
        <v>726</v>
      </c>
      <c r="H94" t="s">
        <v>713</v>
      </c>
      <c r="J94" t="s">
        <v>716</v>
      </c>
    </row>
    <row r="95" spans="1:10" x14ac:dyDescent="0.25">
      <c r="A95" t="s">
        <v>1086</v>
      </c>
      <c r="B95" t="str">
        <f t="shared" si="1"/>
        <v>[[Globe of Invulnerability]]</v>
      </c>
      <c r="C95">
        <v>6</v>
      </c>
      <c r="D95" t="s">
        <v>737</v>
      </c>
      <c r="E95" t="s">
        <v>710</v>
      </c>
      <c r="F95" t="s">
        <v>738</v>
      </c>
      <c r="G95" t="s">
        <v>720</v>
      </c>
      <c r="H95" t="s">
        <v>713</v>
      </c>
      <c r="I95" t="s">
        <v>722</v>
      </c>
    </row>
    <row r="96" spans="1:10" x14ac:dyDescent="0.25">
      <c r="A96" t="s">
        <v>796</v>
      </c>
      <c r="B96" t="str">
        <f t="shared" si="1"/>
        <v>[[Glyph of Warding]]</v>
      </c>
      <c r="C96">
        <v>3</v>
      </c>
      <c r="D96" t="s">
        <v>737</v>
      </c>
      <c r="E96" t="s">
        <v>724</v>
      </c>
      <c r="F96" t="s">
        <v>729</v>
      </c>
      <c r="G96" t="s">
        <v>797</v>
      </c>
      <c r="H96" t="s">
        <v>713</v>
      </c>
    </row>
    <row r="97" spans="1:10" x14ac:dyDescent="0.25">
      <c r="A97" t="s">
        <v>1087</v>
      </c>
      <c r="B97" t="str">
        <f t="shared" si="1"/>
        <v>[[Grease]]</v>
      </c>
      <c r="C97">
        <v>1</v>
      </c>
      <c r="D97" t="s">
        <v>749</v>
      </c>
      <c r="E97" t="s">
        <v>710</v>
      </c>
      <c r="F97" t="s">
        <v>725</v>
      </c>
      <c r="G97" t="s">
        <v>720</v>
      </c>
      <c r="H97" t="s">
        <v>713</v>
      </c>
    </row>
    <row r="98" spans="1:10" x14ac:dyDescent="0.25">
      <c r="A98" t="s">
        <v>798</v>
      </c>
      <c r="B98" t="str">
        <f t="shared" si="1"/>
        <v>[[Greater Invisibility]]</v>
      </c>
      <c r="C98">
        <v>4</v>
      </c>
      <c r="D98" t="s">
        <v>751</v>
      </c>
      <c r="E98" t="s">
        <v>710</v>
      </c>
      <c r="F98" t="s">
        <v>729</v>
      </c>
      <c r="G98" t="s">
        <v>720</v>
      </c>
      <c r="H98" t="s">
        <v>721</v>
      </c>
      <c r="I98" t="s">
        <v>722</v>
      </c>
    </row>
    <row r="99" spans="1:10" x14ac:dyDescent="0.25">
      <c r="A99" t="s">
        <v>800</v>
      </c>
      <c r="B99" t="str">
        <f t="shared" si="1"/>
        <v>[[Guards and Wards]]</v>
      </c>
      <c r="C99">
        <v>6</v>
      </c>
      <c r="D99" t="s">
        <v>737</v>
      </c>
      <c r="E99" t="s">
        <v>724</v>
      </c>
      <c r="F99" t="s">
        <v>729</v>
      </c>
      <c r="G99" t="s">
        <v>712</v>
      </c>
      <c r="H99" t="s">
        <v>713</v>
      </c>
    </row>
    <row r="100" spans="1:10" x14ac:dyDescent="0.25">
      <c r="A100" t="s">
        <v>1002</v>
      </c>
      <c r="B100" t="str">
        <f t="shared" si="1"/>
        <v>[[Gust of Wind]]</v>
      </c>
      <c r="C100">
        <v>2</v>
      </c>
      <c r="D100" t="s">
        <v>777</v>
      </c>
      <c r="E100" t="s">
        <v>710</v>
      </c>
      <c r="F100" t="s">
        <v>738</v>
      </c>
      <c r="G100" t="s">
        <v>720</v>
      </c>
      <c r="H100" t="s">
        <v>713</v>
      </c>
      <c r="I100" t="s">
        <v>722</v>
      </c>
    </row>
    <row r="101" spans="1:10" x14ac:dyDescent="0.25">
      <c r="A101" t="s">
        <v>801</v>
      </c>
      <c r="B101" t="str">
        <f t="shared" si="1"/>
        <v>[[Hallucinatory Terrain]]</v>
      </c>
      <c r="C101">
        <v>4</v>
      </c>
      <c r="D101" t="s">
        <v>751</v>
      </c>
      <c r="E101" t="s">
        <v>746</v>
      </c>
      <c r="F101" t="s">
        <v>802</v>
      </c>
      <c r="G101" t="s">
        <v>712</v>
      </c>
      <c r="H101" t="s">
        <v>713</v>
      </c>
    </row>
    <row r="102" spans="1:10" x14ac:dyDescent="0.25">
      <c r="A102" t="s">
        <v>1088</v>
      </c>
      <c r="B102" t="str">
        <f t="shared" si="1"/>
        <v>[[Haste]]</v>
      </c>
      <c r="C102">
        <v>3</v>
      </c>
      <c r="D102" t="s">
        <v>718</v>
      </c>
      <c r="E102" t="s">
        <v>710</v>
      </c>
      <c r="F102" t="s">
        <v>711</v>
      </c>
      <c r="G102" t="s">
        <v>720</v>
      </c>
      <c r="H102" t="s">
        <v>713</v>
      </c>
      <c r="I102" t="s">
        <v>722</v>
      </c>
    </row>
    <row r="103" spans="1:10" x14ac:dyDescent="0.25">
      <c r="A103" t="s">
        <v>808</v>
      </c>
      <c r="B103" t="str">
        <f t="shared" si="1"/>
        <v>[[Hold Monster]]</v>
      </c>
      <c r="C103">
        <v>5</v>
      </c>
      <c r="D103" t="s">
        <v>709</v>
      </c>
      <c r="E103" t="s">
        <v>710</v>
      </c>
      <c r="F103" t="s">
        <v>756</v>
      </c>
      <c r="G103" t="s">
        <v>720</v>
      </c>
      <c r="H103" t="s">
        <v>713</v>
      </c>
      <c r="I103" t="s">
        <v>722</v>
      </c>
    </row>
    <row r="104" spans="1:10" x14ac:dyDescent="0.25">
      <c r="A104" t="s">
        <v>809</v>
      </c>
      <c r="B104" t="str">
        <f t="shared" si="1"/>
        <v>[[Hold Person]]</v>
      </c>
      <c r="C104">
        <v>2</v>
      </c>
      <c r="D104" t="s">
        <v>709</v>
      </c>
      <c r="E104" t="s">
        <v>710</v>
      </c>
      <c r="F104" t="s">
        <v>725</v>
      </c>
      <c r="G104" t="s">
        <v>720</v>
      </c>
      <c r="H104" t="s">
        <v>713</v>
      </c>
      <c r="I104" t="s">
        <v>722</v>
      </c>
    </row>
    <row r="105" spans="1:10" x14ac:dyDescent="0.25">
      <c r="A105" t="s">
        <v>810</v>
      </c>
      <c r="B105" t="str">
        <f t="shared" si="1"/>
        <v>[[Hypnotic Pattern]]</v>
      </c>
      <c r="C105">
        <v>3</v>
      </c>
      <c r="D105" t="s">
        <v>751</v>
      </c>
      <c r="E105" t="s">
        <v>710</v>
      </c>
      <c r="F105" t="s">
        <v>719</v>
      </c>
      <c r="G105" t="s">
        <v>720</v>
      </c>
      <c r="H105" t="s">
        <v>792</v>
      </c>
      <c r="I105" t="s">
        <v>722</v>
      </c>
    </row>
    <row r="106" spans="1:10" x14ac:dyDescent="0.25">
      <c r="A106" t="s">
        <v>1003</v>
      </c>
      <c r="B106" t="str">
        <f t="shared" si="1"/>
        <v>[[Ice Knife]]</v>
      </c>
      <c r="C106">
        <v>1</v>
      </c>
      <c r="D106" t="s">
        <v>749</v>
      </c>
      <c r="E106" t="s">
        <v>710</v>
      </c>
      <c r="F106" t="s">
        <v>725</v>
      </c>
      <c r="G106" t="s">
        <v>730</v>
      </c>
      <c r="H106" t="s">
        <v>792</v>
      </c>
    </row>
    <row r="107" spans="1:10" x14ac:dyDescent="0.25">
      <c r="A107" t="s">
        <v>1004</v>
      </c>
      <c r="B107" t="str">
        <f t="shared" si="1"/>
        <v>[[Ice Storm]]</v>
      </c>
      <c r="C107">
        <v>4</v>
      </c>
      <c r="D107" t="s">
        <v>777</v>
      </c>
      <c r="E107" t="s">
        <v>710</v>
      </c>
      <c r="F107" t="s">
        <v>802</v>
      </c>
      <c r="G107" t="s">
        <v>730</v>
      </c>
      <c r="H107" t="s">
        <v>713</v>
      </c>
    </row>
    <row r="108" spans="1:10" x14ac:dyDescent="0.25">
      <c r="A108" t="s">
        <v>811</v>
      </c>
      <c r="B108" t="str">
        <f t="shared" si="1"/>
        <v>[[Identify]]</v>
      </c>
      <c r="C108">
        <v>1</v>
      </c>
      <c r="D108" t="s">
        <v>745</v>
      </c>
      <c r="E108" t="s">
        <v>812</v>
      </c>
      <c r="F108" t="s">
        <v>729</v>
      </c>
      <c r="G108" t="s">
        <v>730</v>
      </c>
      <c r="H108" t="s">
        <v>713</v>
      </c>
      <c r="J108" t="s">
        <v>716</v>
      </c>
    </row>
    <row r="109" spans="1:10" x14ac:dyDescent="0.25">
      <c r="A109" t="s">
        <v>813</v>
      </c>
      <c r="B109" t="str">
        <f t="shared" si="1"/>
        <v>[[Illusory Script]]</v>
      </c>
      <c r="C109">
        <v>1</v>
      </c>
      <c r="D109" t="s">
        <v>751</v>
      </c>
      <c r="E109" t="s">
        <v>812</v>
      </c>
      <c r="F109" t="s">
        <v>729</v>
      </c>
      <c r="G109" t="s">
        <v>726</v>
      </c>
      <c r="H109" t="s">
        <v>792</v>
      </c>
      <c r="J109" t="s">
        <v>716</v>
      </c>
    </row>
    <row r="110" spans="1:10" x14ac:dyDescent="0.25">
      <c r="A110" t="s">
        <v>1119</v>
      </c>
      <c r="B110" t="str">
        <f t="shared" si="1"/>
        <v>[[Imprisonment]]</v>
      </c>
      <c r="C110">
        <v>9</v>
      </c>
      <c r="D110" t="s">
        <v>737</v>
      </c>
      <c r="E110" t="s">
        <v>720</v>
      </c>
      <c r="F110" t="s">
        <v>711</v>
      </c>
      <c r="G110" t="s">
        <v>826</v>
      </c>
      <c r="H110" t="s">
        <v>713</v>
      </c>
    </row>
    <row r="111" spans="1:10" x14ac:dyDescent="0.25">
      <c r="A111" t="s">
        <v>1005</v>
      </c>
      <c r="B111" t="str">
        <f t="shared" si="1"/>
        <v>[[Incendiary CLoud]]</v>
      </c>
      <c r="C111">
        <v>8</v>
      </c>
      <c r="D111" t="s">
        <v>749</v>
      </c>
      <c r="E111" t="s">
        <v>710</v>
      </c>
      <c r="F111" t="s">
        <v>733</v>
      </c>
      <c r="G111" t="s">
        <v>720</v>
      </c>
      <c r="H111" t="s">
        <v>721</v>
      </c>
      <c r="I111" t="s">
        <v>722</v>
      </c>
    </row>
    <row r="112" spans="1:10" x14ac:dyDescent="0.25">
      <c r="A112" t="s">
        <v>814</v>
      </c>
      <c r="B112" t="str">
        <f t="shared" si="1"/>
        <v>[[Invisibility]]</v>
      </c>
      <c r="C112">
        <v>2</v>
      </c>
      <c r="D112" t="s">
        <v>751</v>
      </c>
      <c r="E112" t="s">
        <v>710</v>
      </c>
      <c r="F112" t="s">
        <v>729</v>
      </c>
      <c r="G112" t="s">
        <v>724</v>
      </c>
      <c r="H112" t="s">
        <v>713</v>
      </c>
      <c r="I112" t="s">
        <v>722</v>
      </c>
    </row>
    <row r="113" spans="1:10" x14ac:dyDescent="0.25">
      <c r="A113" t="s">
        <v>1120</v>
      </c>
      <c r="B113" t="str">
        <f t="shared" si="1"/>
        <v>[[Jallarzi's Storm of Radiance]]</v>
      </c>
      <c r="C113">
        <v>5</v>
      </c>
      <c r="D113" t="s">
        <v>777</v>
      </c>
      <c r="E113" t="s">
        <v>710</v>
      </c>
      <c r="F113" t="s">
        <v>719</v>
      </c>
      <c r="G113" t="s">
        <v>720</v>
      </c>
      <c r="H113" t="s">
        <v>713</v>
      </c>
      <c r="I113" t="s">
        <v>722</v>
      </c>
    </row>
    <row r="114" spans="1:10" x14ac:dyDescent="0.25">
      <c r="A114" t="s">
        <v>1006</v>
      </c>
      <c r="B114" t="str">
        <f t="shared" si="1"/>
        <v>[[Jump]]</v>
      </c>
      <c r="C114">
        <v>1</v>
      </c>
      <c r="D114" t="s">
        <v>718</v>
      </c>
      <c r="E114" t="s">
        <v>804</v>
      </c>
      <c r="F114" t="s">
        <v>729</v>
      </c>
      <c r="G114" t="s">
        <v>720</v>
      </c>
      <c r="H114" t="s">
        <v>713</v>
      </c>
    </row>
    <row r="115" spans="1:10" x14ac:dyDescent="0.25">
      <c r="A115" t="s">
        <v>815</v>
      </c>
      <c r="B115" t="str">
        <f t="shared" si="1"/>
        <v>[[Knock]]</v>
      </c>
      <c r="C115">
        <v>2</v>
      </c>
      <c r="D115" t="s">
        <v>718</v>
      </c>
      <c r="E115" t="s">
        <v>710</v>
      </c>
      <c r="F115" t="s">
        <v>725</v>
      </c>
      <c r="G115" t="s">
        <v>730</v>
      </c>
      <c r="H115" t="s">
        <v>740</v>
      </c>
    </row>
    <row r="116" spans="1:10" x14ac:dyDescent="0.25">
      <c r="A116" t="s">
        <v>816</v>
      </c>
      <c r="B116" t="str">
        <f t="shared" si="1"/>
        <v>[[Legend Lore]]</v>
      </c>
      <c r="C116">
        <v>5</v>
      </c>
      <c r="D116" t="s">
        <v>745</v>
      </c>
      <c r="E116" t="s">
        <v>746</v>
      </c>
      <c r="F116" t="s">
        <v>738</v>
      </c>
      <c r="G116" t="s">
        <v>730</v>
      </c>
      <c r="H116" t="s">
        <v>713</v>
      </c>
    </row>
    <row r="117" spans="1:10" x14ac:dyDescent="0.25">
      <c r="A117" t="s">
        <v>1136</v>
      </c>
      <c r="B117" t="str">
        <f t="shared" si="1"/>
        <v>[[Leomund's Secret Chest]]</v>
      </c>
      <c r="C117">
        <v>4</v>
      </c>
      <c r="D117" t="s">
        <v>749</v>
      </c>
      <c r="E117" t="s">
        <v>710</v>
      </c>
      <c r="F117" t="s">
        <v>729</v>
      </c>
      <c r="G117" t="s">
        <v>730</v>
      </c>
      <c r="H117" t="s">
        <v>713</v>
      </c>
    </row>
    <row r="118" spans="1:10" x14ac:dyDescent="0.25">
      <c r="A118" t="s">
        <v>817</v>
      </c>
      <c r="B118" t="str">
        <f t="shared" si="1"/>
        <v>[[Leomund's Tiny Hut]]</v>
      </c>
      <c r="C118">
        <v>3</v>
      </c>
      <c r="D118" t="s">
        <v>777</v>
      </c>
      <c r="E118" t="s">
        <v>812</v>
      </c>
      <c r="F118" t="s">
        <v>738</v>
      </c>
      <c r="G118" t="s">
        <v>728</v>
      </c>
      <c r="H118" t="s">
        <v>713</v>
      </c>
      <c r="J118" t="s">
        <v>716</v>
      </c>
    </row>
    <row r="119" spans="1:10" x14ac:dyDescent="0.25">
      <c r="A119" t="s">
        <v>1089</v>
      </c>
      <c r="B119" t="str">
        <f t="shared" si="1"/>
        <v>[[Levitate]]</v>
      </c>
      <c r="C119">
        <v>2</v>
      </c>
      <c r="D119" t="s">
        <v>718</v>
      </c>
      <c r="E119" t="s">
        <v>710</v>
      </c>
      <c r="F119" t="s">
        <v>725</v>
      </c>
      <c r="G119" t="s">
        <v>746</v>
      </c>
      <c r="H119" t="s">
        <v>713</v>
      </c>
      <c r="I119" t="s">
        <v>722</v>
      </c>
    </row>
    <row r="120" spans="1:10" x14ac:dyDescent="0.25">
      <c r="A120" t="s">
        <v>819</v>
      </c>
      <c r="B120" t="str">
        <f t="shared" si="1"/>
        <v>[[Light]]</v>
      </c>
      <c r="C120">
        <v>0</v>
      </c>
      <c r="D120" t="s">
        <v>777</v>
      </c>
      <c r="E120" t="s">
        <v>710</v>
      </c>
      <c r="F120" t="s">
        <v>729</v>
      </c>
      <c r="G120" t="s">
        <v>724</v>
      </c>
      <c r="H120" t="s">
        <v>781</v>
      </c>
    </row>
    <row r="121" spans="1:10" x14ac:dyDescent="0.25">
      <c r="A121" t="s">
        <v>1090</v>
      </c>
      <c r="B121" t="str">
        <f t="shared" si="1"/>
        <v>[[Lightning Bolt]]</v>
      </c>
      <c r="C121">
        <v>3</v>
      </c>
      <c r="D121" t="s">
        <v>777</v>
      </c>
      <c r="E121" t="s">
        <v>710</v>
      </c>
      <c r="F121" t="s">
        <v>738</v>
      </c>
      <c r="G121" t="s">
        <v>730</v>
      </c>
      <c r="H121" t="s">
        <v>713</v>
      </c>
    </row>
    <row r="122" spans="1:10" x14ac:dyDescent="0.25">
      <c r="A122" t="s">
        <v>821</v>
      </c>
      <c r="B122" t="str">
        <f t="shared" si="1"/>
        <v>[[Locate Creature]]</v>
      </c>
      <c r="C122">
        <v>4</v>
      </c>
      <c r="D122" t="s">
        <v>745</v>
      </c>
      <c r="E122" t="s">
        <v>710</v>
      </c>
      <c r="F122" t="s">
        <v>738</v>
      </c>
      <c r="G122" t="s">
        <v>724</v>
      </c>
      <c r="H122" t="s">
        <v>713</v>
      </c>
      <c r="I122" t="s">
        <v>722</v>
      </c>
    </row>
    <row r="123" spans="1:10" x14ac:dyDescent="0.25">
      <c r="A123" t="s">
        <v>822</v>
      </c>
      <c r="B123" t="str">
        <f t="shared" si="1"/>
        <v>[[Locate Object]]</v>
      </c>
      <c r="C123">
        <v>2</v>
      </c>
      <c r="D123" t="s">
        <v>745</v>
      </c>
      <c r="E123" t="s">
        <v>710</v>
      </c>
      <c r="F123" t="s">
        <v>738</v>
      </c>
      <c r="G123" t="s">
        <v>746</v>
      </c>
      <c r="H123" t="s">
        <v>713</v>
      </c>
      <c r="I123" t="s">
        <v>722</v>
      </c>
    </row>
    <row r="124" spans="1:10" x14ac:dyDescent="0.25">
      <c r="A124" t="s">
        <v>823</v>
      </c>
      <c r="B124" t="str">
        <f t="shared" si="1"/>
        <v>[[Longstrider]]</v>
      </c>
      <c r="C124">
        <v>1</v>
      </c>
      <c r="D124" t="s">
        <v>718</v>
      </c>
      <c r="E124" t="s">
        <v>710</v>
      </c>
      <c r="F124" t="s">
        <v>729</v>
      </c>
      <c r="G124" t="s">
        <v>724</v>
      </c>
      <c r="H124" t="s">
        <v>713</v>
      </c>
    </row>
    <row r="125" spans="1:10" x14ac:dyDescent="0.25">
      <c r="A125" t="s">
        <v>1091</v>
      </c>
      <c r="B125" t="str">
        <f t="shared" si="1"/>
        <v>[[Mage Armor]]</v>
      </c>
      <c r="C125">
        <v>1</v>
      </c>
      <c r="D125" t="s">
        <v>737</v>
      </c>
      <c r="E125" t="s">
        <v>710</v>
      </c>
      <c r="F125" t="s">
        <v>729</v>
      </c>
      <c r="G125" t="s">
        <v>728</v>
      </c>
      <c r="H125" t="s">
        <v>713</v>
      </c>
    </row>
    <row r="126" spans="1:10" x14ac:dyDescent="0.25">
      <c r="A126" t="s">
        <v>824</v>
      </c>
      <c r="B126" t="str">
        <f t="shared" si="1"/>
        <v>[[Mage Hand]]</v>
      </c>
      <c r="C126">
        <v>0</v>
      </c>
      <c r="D126" t="s">
        <v>749</v>
      </c>
      <c r="E126" t="s">
        <v>710</v>
      </c>
      <c r="F126" t="s">
        <v>711</v>
      </c>
      <c r="G126" t="s">
        <v>720</v>
      </c>
      <c r="H126" t="s">
        <v>721</v>
      </c>
    </row>
    <row r="127" spans="1:10" x14ac:dyDescent="0.25">
      <c r="A127" t="s">
        <v>943</v>
      </c>
      <c r="B127" t="str">
        <f t="shared" si="1"/>
        <v>[[Magic Circle]]</v>
      </c>
      <c r="C127">
        <v>3</v>
      </c>
      <c r="D127" t="s">
        <v>737</v>
      </c>
      <c r="E127" t="s">
        <v>720</v>
      </c>
      <c r="F127" t="s">
        <v>791</v>
      </c>
      <c r="G127" t="s">
        <v>724</v>
      </c>
      <c r="H127" t="s">
        <v>713</v>
      </c>
    </row>
    <row r="128" spans="1:10" x14ac:dyDescent="0.25">
      <c r="A128" t="s">
        <v>1137</v>
      </c>
      <c r="B128" t="str">
        <f t="shared" si="1"/>
        <v>[[Magic Jar]]</v>
      </c>
      <c r="C128">
        <v>6</v>
      </c>
      <c r="D128" t="s">
        <v>735</v>
      </c>
      <c r="E128" t="s">
        <v>720</v>
      </c>
      <c r="F128" t="s">
        <v>738</v>
      </c>
      <c r="G128" t="s">
        <v>826</v>
      </c>
      <c r="H128" t="s">
        <v>713</v>
      </c>
    </row>
    <row r="129" spans="1:10" x14ac:dyDescent="0.25">
      <c r="A129" t="s">
        <v>1092</v>
      </c>
      <c r="B129" t="str">
        <f t="shared" ref="B129:B192" si="2">"[["&amp;A129&amp;"]]"</f>
        <v>[[Magic Missile]]</v>
      </c>
      <c r="C129">
        <v>1</v>
      </c>
      <c r="D129" t="s">
        <v>777</v>
      </c>
      <c r="E129" t="s">
        <v>710</v>
      </c>
      <c r="F129" t="s">
        <v>719</v>
      </c>
      <c r="G129" t="s">
        <v>730</v>
      </c>
      <c r="H129" t="s">
        <v>721</v>
      </c>
    </row>
    <row r="130" spans="1:10" x14ac:dyDescent="0.25">
      <c r="A130" t="s">
        <v>825</v>
      </c>
      <c r="B130" t="str">
        <f t="shared" si="2"/>
        <v>[[Magic Mouth]]</v>
      </c>
      <c r="C130">
        <v>2</v>
      </c>
      <c r="D130" t="s">
        <v>751</v>
      </c>
      <c r="E130" t="s">
        <v>812</v>
      </c>
      <c r="F130" t="s">
        <v>711</v>
      </c>
      <c r="G130" t="s">
        <v>826</v>
      </c>
      <c r="H130" t="s">
        <v>713</v>
      </c>
      <c r="J130" t="s">
        <v>716</v>
      </c>
    </row>
    <row r="131" spans="1:10" x14ac:dyDescent="0.25">
      <c r="A131" t="s">
        <v>1043</v>
      </c>
      <c r="B131" t="str">
        <f t="shared" si="2"/>
        <v>[[Magic Weapon]]</v>
      </c>
      <c r="C131">
        <v>2</v>
      </c>
      <c r="D131" t="s">
        <v>718</v>
      </c>
      <c r="E131" t="s">
        <v>804</v>
      </c>
      <c r="F131" t="s">
        <v>729</v>
      </c>
      <c r="G131" t="s">
        <v>724</v>
      </c>
      <c r="H131" t="s">
        <v>721</v>
      </c>
    </row>
    <row r="132" spans="1:10" x14ac:dyDescent="0.25">
      <c r="A132" t="s">
        <v>827</v>
      </c>
      <c r="B132" t="str">
        <f t="shared" si="2"/>
        <v>[[Major Image]]</v>
      </c>
      <c r="C132">
        <v>3</v>
      </c>
      <c r="D132" t="s">
        <v>751</v>
      </c>
      <c r="E132" t="s">
        <v>710</v>
      </c>
      <c r="F132" t="s">
        <v>719</v>
      </c>
      <c r="G132" t="s">
        <v>746</v>
      </c>
      <c r="H132" t="s">
        <v>713</v>
      </c>
      <c r="I132" t="s">
        <v>722</v>
      </c>
    </row>
    <row r="133" spans="1:10" x14ac:dyDescent="0.25">
      <c r="A133" t="s">
        <v>830</v>
      </c>
      <c r="B133" t="str">
        <f t="shared" si="2"/>
        <v>[[Mass Suggestion]]</v>
      </c>
      <c r="C133">
        <v>6</v>
      </c>
      <c r="D133" t="s">
        <v>709</v>
      </c>
      <c r="E133" t="s">
        <v>710</v>
      </c>
      <c r="F133" t="s">
        <v>725</v>
      </c>
      <c r="G133" t="s">
        <v>712</v>
      </c>
      <c r="H133" t="s">
        <v>781</v>
      </c>
    </row>
    <row r="134" spans="1:10" x14ac:dyDescent="0.25">
      <c r="A134" t="s">
        <v>1138</v>
      </c>
      <c r="B134" t="str">
        <f t="shared" si="2"/>
        <v>[[Maze]]</v>
      </c>
      <c r="C134">
        <v>8</v>
      </c>
      <c r="D134" t="s">
        <v>749</v>
      </c>
      <c r="E134" t="s">
        <v>710</v>
      </c>
      <c r="F134" t="s">
        <v>725</v>
      </c>
      <c r="G134" t="s">
        <v>746</v>
      </c>
      <c r="H134" t="s">
        <v>721</v>
      </c>
      <c r="I134" t="s">
        <v>722</v>
      </c>
    </row>
    <row r="135" spans="1:10" x14ac:dyDescent="0.25">
      <c r="A135" t="s">
        <v>1139</v>
      </c>
      <c r="B135" t="str">
        <f t="shared" si="2"/>
        <v>[[Melf's Acid Arrow]]</v>
      </c>
      <c r="C135">
        <v>2</v>
      </c>
      <c r="D135" t="s">
        <v>777</v>
      </c>
      <c r="E135" t="s">
        <v>710</v>
      </c>
      <c r="F135" t="s">
        <v>756</v>
      </c>
      <c r="G135" t="s">
        <v>730</v>
      </c>
      <c r="H135" t="s">
        <v>713</v>
      </c>
    </row>
    <row r="136" spans="1:10" x14ac:dyDescent="0.25">
      <c r="A136" t="s">
        <v>831</v>
      </c>
      <c r="B136" t="str">
        <f t="shared" si="2"/>
        <v>[[Mending]]</v>
      </c>
      <c r="C136">
        <v>0</v>
      </c>
      <c r="D136" t="s">
        <v>718</v>
      </c>
      <c r="E136" t="s">
        <v>720</v>
      </c>
      <c r="F136" t="s">
        <v>729</v>
      </c>
      <c r="G136" t="s">
        <v>730</v>
      </c>
      <c r="H136" t="s">
        <v>713</v>
      </c>
    </row>
    <row r="137" spans="1:10" x14ac:dyDescent="0.25">
      <c r="A137" t="s">
        <v>832</v>
      </c>
      <c r="B137" t="str">
        <f t="shared" si="2"/>
        <v>[[Message]]</v>
      </c>
      <c r="C137">
        <v>0</v>
      </c>
      <c r="D137" t="s">
        <v>718</v>
      </c>
      <c r="E137" t="s">
        <v>710</v>
      </c>
      <c r="F137" t="s">
        <v>719</v>
      </c>
      <c r="G137" t="s">
        <v>833</v>
      </c>
      <c r="H137" t="s">
        <v>792</v>
      </c>
    </row>
    <row r="138" spans="1:10" x14ac:dyDescent="0.25">
      <c r="A138" t="s">
        <v>1093</v>
      </c>
      <c r="B138" t="str">
        <f t="shared" si="2"/>
        <v>[[Meteor Swarm]]</v>
      </c>
      <c r="C138">
        <v>9</v>
      </c>
      <c r="D138" t="s">
        <v>777</v>
      </c>
      <c r="E138" t="s">
        <v>710</v>
      </c>
      <c r="F138" t="s">
        <v>747</v>
      </c>
      <c r="G138" t="s">
        <v>730</v>
      </c>
      <c r="H138" t="s">
        <v>721</v>
      </c>
    </row>
    <row r="139" spans="1:10" x14ac:dyDescent="0.25">
      <c r="A139" t="s">
        <v>834</v>
      </c>
      <c r="B139" t="str">
        <f t="shared" si="2"/>
        <v>[[Mind Blank]]</v>
      </c>
      <c r="C139">
        <v>8</v>
      </c>
      <c r="D139" t="s">
        <v>737</v>
      </c>
      <c r="E139" t="s">
        <v>710</v>
      </c>
      <c r="F139" t="s">
        <v>729</v>
      </c>
      <c r="G139" t="s">
        <v>712</v>
      </c>
      <c r="H139" t="s">
        <v>721</v>
      </c>
    </row>
    <row r="140" spans="1:10" x14ac:dyDescent="0.25">
      <c r="A140" t="s">
        <v>1094</v>
      </c>
      <c r="B140" t="str">
        <f t="shared" si="2"/>
        <v>[[Mind Sliver]]</v>
      </c>
      <c r="C140">
        <v>0</v>
      </c>
      <c r="D140" t="s">
        <v>709</v>
      </c>
      <c r="E140" t="s">
        <v>710</v>
      </c>
      <c r="F140" t="s">
        <v>725</v>
      </c>
      <c r="G140" t="s">
        <v>833</v>
      </c>
      <c r="H140" t="s">
        <v>740</v>
      </c>
    </row>
    <row r="141" spans="1:10" x14ac:dyDescent="0.25">
      <c r="A141" t="s">
        <v>1095</v>
      </c>
      <c r="B141" t="str">
        <f t="shared" si="2"/>
        <v>[[Mind Spike]]</v>
      </c>
      <c r="C141">
        <v>2</v>
      </c>
      <c r="D141" t="s">
        <v>745</v>
      </c>
      <c r="E141" t="s">
        <v>710</v>
      </c>
      <c r="F141" t="s">
        <v>719</v>
      </c>
      <c r="G141" t="s">
        <v>724</v>
      </c>
      <c r="H141" t="s">
        <v>840</v>
      </c>
      <c r="I141" t="s">
        <v>722</v>
      </c>
    </row>
    <row r="142" spans="1:10" x14ac:dyDescent="0.25">
      <c r="A142" t="s">
        <v>835</v>
      </c>
      <c r="B142" t="str">
        <f t="shared" si="2"/>
        <v>[[Minor Illusion]]</v>
      </c>
      <c r="C142">
        <v>0</v>
      </c>
      <c r="D142" t="s">
        <v>751</v>
      </c>
      <c r="E142" t="s">
        <v>710</v>
      </c>
      <c r="F142" t="s">
        <v>711</v>
      </c>
      <c r="G142" t="s">
        <v>720</v>
      </c>
      <c r="H142" t="s">
        <v>792</v>
      </c>
    </row>
    <row r="143" spans="1:10" x14ac:dyDescent="0.25">
      <c r="A143" t="s">
        <v>836</v>
      </c>
      <c r="B143" t="str">
        <f t="shared" si="2"/>
        <v>[[Mirage Arcane]]</v>
      </c>
      <c r="C143">
        <v>7</v>
      </c>
      <c r="D143" t="s">
        <v>751</v>
      </c>
      <c r="E143" t="s">
        <v>746</v>
      </c>
      <c r="F143" t="s">
        <v>837</v>
      </c>
      <c r="G143" t="s">
        <v>726</v>
      </c>
      <c r="H143" t="s">
        <v>721</v>
      </c>
    </row>
    <row r="144" spans="1:10" x14ac:dyDescent="0.25">
      <c r="A144" t="s">
        <v>838</v>
      </c>
      <c r="B144" t="str">
        <f t="shared" si="2"/>
        <v>[[Mirror Image]]</v>
      </c>
      <c r="C144">
        <v>2</v>
      </c>
      <c r="D144" t="s">
        <v>751</v>
      </c>
      <c r="E144" t="s">
        <v>710</v>
      </c>
      <c r="F144" t="s">
        <v>738</v>
      </c>
      <c r="G144" t="s">
        <v>720</v>
      </c>
      <c r="H144" t="s">
        <v>721</v>
      </c>
    </row>
    <row r="145" spans="1:9" x14ac:dyDescent="0.25">
      <c r="A145" t="s">
        <v>839</v>
      </c>
      <c r="B145" t="str">
        <f t="shared" si="2"/>
        <v>[[Mislead]]</v>
      </c>
      <c r="C145">
        <v>5</v>
      </c>
      <c r="D145" t="s">
        <v>751</v>
      </c>
      <c r="E145" t="s">
        <v>710</v>
      </c>
      <c r="F145" t="s">
        <v>738</v>
      </c>
      <c r="G145" t="s">
        <v>724</v>
      </c>
      <c r="H145" t="s">
        <v>840</v>
      </c>
      <c r="I145" t="s">
        <v>722</v>
      </c>
    </row>
    <row r="146" spans="1:9" x14ac:dyDescent="0.25">
      <c r="A146" t="s">
        <v>1096</v>
      </c>
      <c r="B146" t="str">
        <f t="shared" si="2"/>
        <v>[[Misty Step]]</v>
      </c>
      <c r="C146">
        <v>2</v>
      </c>
      <c r="D146" t="s">
        <v>749</v>
      </c>
      <c r="E146" t="s">
        <v>804</v>
      </c>
      <c r="F146" t="s">
        <v>738</v>
      </c>
      <c r="G146" t="s">
        <v>730</v>
      </c>
      <c r="H146" t="s">
        <v>740</v>
      </c>
    </row>
    <row r="147" spans="1:9" x14ac:dyDescent="0.25">
      <c r="A147" t="s">
        <v>841</v>
      </c>
      <c r="B147" t="str">
        <f t="shared" si="2"/>
        <v>[[Modify Memory]]</v>
      </c>
      <c r="C147">
        <v>5</v>
      </c>
      <c r="D147" t="s">
        <v>709</v>
      </c>
      <c r="E147" t="s">
        <v>710</v>
      </c>
      <c r="F147" t="s">
        <v>711</v>
      </c>
      <c r="G147" t="s">
        <v>720</v>
      </c>
      <c r="H147" t="s">
        <v>721</v>
      </c>
      <c r="I147" t="s">
        <v>722</v>
      </c>
    </row>
    <row r="148" spans="1:9" x14ac:dyDescent="0.25">
      <c r="A148" t="s">
        <v>1140</v>
      </c>
      <c r="B148" t="str">
        <f t="shared" si="2"/>
        <v>[[Mordenkainen's Faithful Hound]]</v>
      </c>
      <c r="C148">
        <v>4</v>
      </c>
      <c r="D148" t="s">
        <v>749</v>
      </c>
      <c r="E148" t="s">
        <v>710</v>
      </c>
      <c r="F148" t="s">
        <v>711</v>
      </c>
      <c r="G148" t="s">
        <v>728</v>
      </c>
      <c r="H148" t="s">
        <v>713</v>
      </c>
    </row>
    <row r="149" spans="1:9" x14ac:dyDescent="0.25">
      <c r="A149" t="s">
        <v>842</v>
      </c>
      <c r="B149" t="str">
        <f t="shared" si="2"/>
        <v>[[Mordenkainen's Magnificent Mansion]]</v>
      </c>
      <c r="C149">
        <v>7</v>
      </c>
      <c r="D149" t="s">
        <v>749</v>
      </c>
      <c r="E149" t="s">
        <v>720</v>
      </c>
      <c r="F149" t="s">
        <v>802</v>
      </c>
      <c r="G149" t="s">
        <v>712</v>
      </c>
      <c r="H149" t="s">
        <v>713</v>
      </c>
    </row>
    <row r="150" spans="1:9" x14ac:dyDescent="0.25">
      <c r="A150" t="s">
        <v>1141</v>
      </c>
      <c r="B150" t="str">
        <f t="shared" si="2"/>
        <v>[[Mordenkainen's Private Sanctum]]</v>
      </c>
      <c r="C150">
        <v>4</v>
      </c>
      <c r="D150" t="s">
        <v>737</v>
      </c>
      <c r="E150" t="s">
        <v>746</v>
      </c>
      <c r="F150" t="s">
        <v>719</v>
      </c>
      <c r="G150" t="s">
        <v>712</v>
      </c>
      <c r="H150" t="s">
        <v>713</v>
      </c>
    </row>
    <row r="151" spans="1:9" x14ac:dyDescent="0.25">
      <c r="A151" t="s">
        <v>843</v>
      </c>
      <c r="B151" t="str">
        <f t="shared" si="2"/>
        <v>[[Mordenkainen's Sword]]</v>
      </c>
      <c r="C151">
        <v>7</v>
      </c>
      <c r="D151" t="s">
        <v>777</v>
      </c>
      <c r="E151" t="s">
        <v>710</v>
      </c>
      <c r="F151" t="s">
        <v>756</v>
      </c>
      <c r="G151" t="s">
        <v>720</v>
      </c>
      <c r="H151" t="s">
        <v>713</v>
      </c>
      <c r="I151" t="s">
        <v>722</v>
      </c>
    </row>
    <row r="152" spans="1:9" x14ac:dyDescent="0.25">
      <c r="A152" t="s">
        <v>1008</v>
      </c>
      <c r="B152" t="str">
        <f t="shared" si="2"/>
        <v>[[Move Earth]]</v>
      </c>
      <c r="C152">
        <v>6</v>
      </c>
      <c r="D152" t="s">
        <v>718</v>
      </c>
      <c r="E152" t="s">
        <v>710</v>
      </c>
      <c r="F152" t="s">
        <v>719</v>
      </c>
      <c r="G152" t="s">
        <v>1009</v>
      </c>
      <c r="H152" t="s">
        <v>713</v>
      </c>
      <c r="I152" t="s">
        <v>722</v>
      </c>
    </row>
    <row r="153" spans="1:9" x14ac:dyDescent="0.25">
      <c r="A153" t="s">
        <v>844</v>
      </c>
      <c r="B153" t="str">
        <f t="shared" si="2"/>
        <v>[[Nondetection]]</v>
      </c>
      <c r="C153">
        <v>3</v>
      </c>
      <c r="D153" t="s">
        <v>737</v>
      </c>
      <c r="E153" t="s">
        <v>710</v>
      </c>
      <c r="F153" t="s">
        <v>729</v>
      </c>
      <c r="G153" t="s">
        <v>728</v>
      </c>
      <c r="H153" t="s">
        <v>713</v>
      </c>
    </row>
    <row r="154" spans="1:9" x14ac:dyDescent="0.25">
      <c r="A154" t="s">
        <v>1142</v>
      </c>
      <c r="B154" t="str">
        <f t="shared" si="2"/>
        <v>[[Nystul's Magic Aura]]</v>
      </c>
      <c r="C154">
        <v>2</v>
      </c>
      <c r="D154" t="s">
        <v>751</v>
      </c>
      <c r="E154" t="s">
        <v>710</v>
      </c>
      <c r="F154" t="s">
        <v>729</v>
      </c>
      <c r="G154" t="s">
        <v>712</v>
      </c>
      <c r="H154" t="s">
        <v>713</v>
      </c>
    </row>
    <row r="155" spans="1:9" x14ac:dyDescent="0.25">
      <c r="A155" t="s">
        <v>1097</v>
      </c>
      <c r="B155" t="str">
        <f t="shared" si="2"/>
        <v>[[Otiluke's Freezing Sphere]]</v>
      </c>
      <c r="C155">
        <v>6</v>
      </c>
      <c r="D155" t="s">
        <v>777</v>
      </c>
      <c r="E155" t="s">
        <v>710</v>
      </c>
      <c r="F155" t="s">
        <v>802</v>
      </c>
      <c r="G155" t="s">
        <v>730</v>
      </c>
      <c r="H155" t="s">
        <v>713</v>
      </c>
    </row>
    <row r="156" spans="1:9" x14ac:dyDescent="0.25">
      <c r="A156" t="s">
        <v>1143</v>
      </c>
      <c r="B156" t="str">
        <f t="shared" si="2"/>
        <v>[[Otiluke's Resilient Sphere]]</v>
      </c>
      <c r="C156">
        <v>4</v>
      </c>
      <c r="D156" t="s">
        <v>777</v>
      </c>
      <c r="E156" t="s">
        <v>710</v>
      </c>
      <c r="F156" t="s">
        <v>711</v>
      </c>
      <c r="G156" t="s">
        <v>720</v>
      </c>
      <c r="H156" t="s">
        <v>713</v>
      </c>
      <c r="I156" t="s">
        <v>722</v>
      </c>
    </row>
    <row r="157" spans="1:9" x14ac:dyDescent="0.25">
      <c r="A157" t="s">
        <v>845</v>
      </c>
      <c r="B157" t="str">
        <f t="shared" si="2"/>
        <v>[[Otto's Irresistible Dance]]</v>
      </c>
      <c r="C157">
        <v>6</v>
      </c>
      <c r="D157" t="s">
        <v>709</v>
      </c>
      <c r="E157" t="s">
        <v>710</v>
      </c>
      <c r="F157" t="s">
        <v>711</v>
      </c>
      <c r="G157" t="s">
        <v>720</v>
      </c>
      <c r="H157" t="s">
        <v>740</v>
      </c>
      <c r="I157" t="s">
        <v>722</v>
      </c>
    </row>
    <row r="158" spans="1:9" x14ac:dyDescent="0.25">
      <c r="A158" t="s">
        <v>1144</v>
      </c>
      <c r="B158" t="str">
        <f t="shared" si="2"/>
        <v>[[Passwall]]</v>
      </c>
      <c r="C158">
        <v>5</v>
      </c>
      <c r="D158" t="s">
        <v>718</v>
      </c>
      <c r="E158" t="s">
        <v>710</v>
      </c>
      <c r="F158" t="s">
        <v>711</v>
      </c>
      <c r="G158" t="s">
        <v>724</v>
      </c>
      <c r="H158" t="s">
        <v>713</v>
      </c>
    </row>
    <row r="159" spans="1:9" x14ac:dyDescent="0.25">
      <c r="A159" t="s">
        <v>846</v>
      </c>
      <c r="B159" t="str">
        <f t="shared" si="2"/>
        <v>[[Phantasmal Force]]</v>
      </c>
      <c r="C159">
        <v>2</v>
      </c>
      <c r="D159" t="s">
        <v>751</v>
      </c>
      <c r="E159" t="s">
        <v>710</v>
      </c>
      <c r="F159" t="s">
        <v>725</v>
      </c>
      <c r="G159" t="s">
        <v>720</v>
      </c>
      <c r="H159" t="s">
        <v>713</v>
      </c>
      <c r="I159" t="s">
        <v>722</v>
      </c>
    </row>
    <row r="160" spans="1:9" x14ac:dyDescent="0.25">
      <c r="A160" t="s">
        <v>847</v>
      </c>
      <c r="B160" t="str">
        <f t="shared" si="2"/>
        <v>[[Phantasmal Killer]]</v>
      </c>
      <c r="C160">
        <v>4</v>
      </c>
      <c r="D160" t="s">
        <v>751</v>
      </c>
      <c r="E160" t="s">
        <v>710</v>
      </c>
      <c r="F160" t="s">
        <v>719</v>
      </c>
      <c r="G160" t="s">
        <v>720</v>
      </c>
      <c r="H160" t="s">
        <v>721</v>
      </c>
      <c r="I160" t="s">
        <v>722</v>
      </c>
    </row>
    <row r="161" spans="1:10" x14ac:dyDescent="0.25">
      <c r="A161" t="s">
        <v>1145</v>
      </c>
      <c r="B161" t="str">
        <f t="shared" si="2"/>
        <v>[[Phantom Steed]]</v>
      </c>
      <c r="C161">
        <v>3</v>
      </c>
      <c r="D161" t="s">
        <v>751</v>
      </c>
      <c r="E161" t="s">
        <v>812</v>
      </c>
      <c r="F161" t="s">
        <v>711</v>
      </c>
      <c r="G161" t="s">
        <v>724</v>
      </c>
      <c r="H161" t="s">
        <v>721</v>
      </c>
      <c r="J161" t="s">
        <v>716</v>
      </c>
    </row>
    <row r="162" spans="1:10" x14ac:dyDescent="0.25">
      <c r="A162" t="s">
        <v>848</v>
      </c>
      <c r="B162" t="str">
        <f t="shared" si="2"/>
        <v>[[Planar Binding]]</v>
      </c>
      <c r="C162">
        <v>5</v>
      </c>
      <c r="D162" t="s">
        <v>737</v>
      </c>
      <c r="E162" t="s">
        <v>724</v>
      </c>
      <c r="F162" t="s">
        <v>725</v>
      </c>
      <c r="G162" t="s">
        <v>712</v>
      </c>
      <c r="H162" t="s">
        <v>713</v>
      </c>
    </row>
    <row r="163" spans="1:10" x14ac:dyDescent="0.25">
      <c r="A163" t="s">
        <v>947</v>
      </c>
      <c r="B163" t="str">
        <f t="shared" si="2"/>
        <v>[[Plane Shift]]</v>
      </c>
      <c r="C163">
        <v>7</v>
      </c>
      <c r="D163" t="s">
        <v>749</v>
      </c>
      <c r="E163" t="s">
        <v>710</v>
      </c>
      <c r="F163" t="s">
        <v>729</v>
      </c>
      <c r="G163" t="s">
        <v>730</v>
      </c>
      <c r="H163" t="s">
        <v>713</v>
      </c>
    </row>
    <row r="164" spans="1:10" x14ac:dyDescent="0.25">
      <c r="A164" t="s">
        <v>1011</v>
      </c>
      <c r="B164" t="str">
        <f t="shared" si="2"/>
        <v>[[Poison Spray]]</v>
      </c>
      <c r="C164">
        <v>0</v>
      </c>
      <c r="D164" t="s">
        <v>735</v>
      </c>
      <c r="E164" t="s">
        <v>710</v>
      </c>
      <c r="F164" t="s">
        <v>711</v>
      </c>
      <c r="G164" t="s">
        <v>730</v>
      </c>
      <c r="H164" t="s">
        <v>721</v>
      </c>
    </row>
    <row r="165" spans="1:10" x14ac:dyDescent="0.25">
      <c r="A165" t="s">
        <v>851</v>
      </c>
      <c r="B165" t="str">
        <f t="shared" si="2"/>
        <v>[[Polymorph]]</v>
      </c>
      <c r="C165">
        <v>4</v>
      </c>
      <c r="D165" t="s">
        <v>718</v>
      </c>
      <c r="E165" t="s">
        <v>710</v>
      </c>
      <c r="F165" t="s">
        <v>725</v>
      </c>
      <c r="G165" t="s">
        <v>724</v>
      </c>
      <c r="H165" t="s">
        <v>713</v>
      </c>
      <c r="I165" t="s">
        <v>722</v>
      </c>
    </row>
    <row r="166" spans="1:10" x14ac:dyDescent="0.25">
      <c r="A166" t="s">
        <v>854</v>
      </c>
      <c r="B166" t="str">
        <f t="shared" si="2"/>
        <v>[[Power Word Kill]]</v>
      </c>
      <c r="C166">
        <v>9</v>
      </c>
      <c r="D166" t="s">
        <v>709</v>
      </c>
      <c r="E166" t="s">
        <v>710</v>
      </c>
      <c r="F166" t="s">
        <v>725</v>
      </c>
      <c r="G166" t="s">
        <v>730</v>
      </c>
      <c r="H166" t="s">
        <v>740</v>
      </c>
    </row>
    <row r="167" spans="1:10" x14ac:dyDescent="0.25">
      <c r="A167" t="s">
        <v>855</v>
      </c>
      <c r="B167" t="str">
        <f t="shared" si="2"/>
        <v>[[Power Word Stun]]</v>
      </c>
      <c r="C167">
        <v>8</v>
      </c>
      <c r="D167" t="s">
        <v>709</v>
      </c>
      <c r="E167" t="s">
        <v>710</v>
      </c>
      <c r="F167" t="s">
        <v>725</v>
      </c>
      <c r="G167" t="s">
        <v>730</v>
      </c>
      <c r="H167" t="s">
        <v>740</v>
      </c>
    </row>
    <row r="168" spans="1:10" x14ac:dyDescent="0.25">
      <c r="A168" t="s">
        <v>856</v>
      </c>
      <c r="B168" t="str">
        <f t="shared" si="2"/>
        <v>[[Prestidigitation]]</v>
      </c>
      <c r="C168">
        <v>0</v>
      </c>
      <c r="D168" t="s">
        <v>718</v>
      </c>
      <c r="E168" t="s">
        <v>710</v>
      </c>
      <c r="F168" t="s">
        <v>791</v>
      </c>
      <c r="G168" t="s">
        <v>724</v>
      </c>
      <c r="H168" t="s">
        <v>721</v>
      </c>
    </row>
    <row r="169" spans="1:10" x14ac:dyDescent="0.25">
      <c r="A169" t="s">
        <v>857</v>
      </c>
      <c r="B169" t="str">
        <f t="shared" si="2"/>
        <v>[[Prismatic Spray]]</v>
      </c>
      <c r="C169">
        <v>7</v>
      </c>
      <c r="D169" t="s">
        <v>777</v>
      </c>
      <c r="E169" t="s">
        <v>710</v>
      </c>
      <c r="F169" t="s">
        <v>738</v>
      </c>
      <c r="G169" t="s">
        <v>730</v>
      </c>
      <c r="H169" t="s">
        <v>721</v>
      </c>
    </row>
    <row r="170" spans="1:10" x14ac:dyDescent="0.25">
      <c r="A170" t="s">
        <v>858</v>
      </c>
      <c r="B170" t="str">
        <f t="shared" si="2"/>
        <v>[[Prismatic Wall]]</v>
      </c>
      <c r="C170">
        <v>9</v>
      </c>
      <c r="D170" t="s">
        <v>737</v>
      </c>
      <c r="E170" t="s">
        <v>710</v>
      </c>
      <c r="F170" t="s">
        <v>725</v>
      </c>
      <c r="G170" t="s">
        <v>746</v>
      </c>
      <c r="H170" t="s">
        <v>721</v>
      </c>
    </row>
    <row r="171" spans="1:10" x14ac:dyDescent="0.25">
      <c r="A171" t="s">
        <v>859</v>
      </c>
      <c r="B171" t="str">
        <f t="shared" si="2"/>
        <v>[[Programmed Illusion]]</v>
      </c>
      <c r="C171">
        <v>6</v>
      </c>
      <c r="D171" t="s">
        <v>751</v>
      </c>
      <c r="E171" t="s">
        <v>710</v>
      </c>
      <c r="F171" t="s">
        <v>719</v>
      </c>
      <c r="G171" t="s">
        <v>826</v>
      </c>
      <c r="H171" t="s">
        <v>713</v>
      </c>
    </row>
    <row r="172" spans="1:10" x14ac:dyDescent="0.25">
      <c r="A172" t="s">
        <v>860</v>
      </c>
      <c r="B172" t="str">
        <f t="shared" si="2"/>
        <v>[[Project Image]]</v>
      </c>
      <c r="C172">
        <v>7</v>
      </c>
      <c r="D172" t="s">
        <v>751</v>
      </c>
      <c r="E172" t="s">
        <v>710</v>
      </c>
      <c r="F172" t="s">
        <v>861</v>
      </c>
      <c r="G172" t="s">
        <v>784</v>
      </c>
      <c r="H172" t="s">
        <v>713</v>
      </c>
      <c r="I172" t="s">
        <v>722</v>
      </c>
    </row>
    <row r="173" spans="1:10" x14ac:dyDescent="0.25">
      <c r="A173" t="s">
        <v>949</v>
      </c>
      <c r="B173" t="str">
        <f t="shared" si="2"/>
        <v>[[Protection from Energy]]</v>
      </c>
      <c r="C173">
        <v>3</v>
      </c>
      <c r="D173" t="s">
        <v>737</v>
      </c>
      <c r="E173" t="s">
        <v>710</v>
      </c>
      <c r="F173" t="s">
        <v>729</v>
      </c>
      <c r="G173" t="s">
        <v>724</v>
      </c>
      <c r="H173" t="s">
        <v>721</v>
      </c>
      <c r="I173" t="s">
        <v>722</v>
      </c>
    </row>
    <row r="174" spans="1:10" x14ac:dyDescent="0.25">
      <c r="A174" t="s">
        <v>950</v>
      </c>
      <c r="B174" t="str">
        <f t="shared" si="2"/>
        <v>[[Protection from Evil and Good]]</v>
      </c>
      <c r="C174">
        <v>1</v>
      </c>
      <c r="D174" t="s">
        <v>737</v>
      </c>
      <c r="E174" t="s">
        <v>710</v>
      </c>
      <c r="F174" t="s">
        <v>729</v>
      </c>
      <c r="G174" t="s">
        <v>746</v>
      </c>
      <c r="H174" t="s">
        <v>713</v>
      </c>
      <c r="I174" t="s">
        <v>722</v>
      </c>
    </row>
    <row r="175" spans="1:10" x14ac:dyDescent="0.25">
      <c r="A175" t="s">
        <v>863</v>
      </c>
      <c r="B175" t="str">
        <f t="shared" si="2"/>
        <v>[[Rary's Telepathic Bond]]</v>
      </c>
      <c r="C175">
        <v>5</v>
      </c>
      <c r="D175" t="s">
        <v>745</v>
      </c>
      <c r="E175" t="s">
        <v>715</v>
      </c>
      <c r="F175" t="s">
        <v>711</v>
      </c>
      <c r="G175" t="s">
        <v>724</v>
      </c>
      <c r="H175" t="s">
        <v>713</v>
      </c>
      <c r="J175" t="s">
        <v>716</v>
      </c>
    </row>
    <row r="176" spans="1:10" x14ac:dyDescent="0.25">
      <c r="A176" t="s">
        <v>1121</v>
      </c>
      <c r="B176" t="str">
        <f t="shared" si="2"/>
        <v>[[Ray of Enfeeblement]]</v>
      </c>
      <c r="C176">
        <v>2</v>
      </c>
      <c r="D176" t="s">
        <v>735</v>
      </c>
      <c r="E176" t="s">
        <v>710</v>
      </c>
      <c r="F176" t="s">
        <v>725</v>
      </c>
      <c r="G176" t="s">
        <v>720</v>
      </c>
      <c r="H176" t="s">
        <v>721</v>
      </c>
      <c r="I176" t="s">
        <v>722</v>
      </c>
    </row>
    <row r="177" spans="1:9" x14ac:dyDescent="0.25">
      <c r="A177" t="s">
        <v>1098</v>
      </c>
      <c r="B177" t="str">
        <f t="shared" si="2"/>
        <v>[[Ray of Frost]]</v>
      </c>
      <c r="C177">
        <v>0</v>
      </c>
      <c r="D177" t="s">
        <v>777</v>
      </c>
      <c r="E177" t="s">
        <v>710</v>
      </c>
      <c r="F177" t="s">
        <v>725</v>
      </c>
      <c r="G177" t="s">
        <v>730</v>
      </c>
      <c r="H177" t="s">
        <v>721</v>
      </c>
    </row>
    <row r="178" spans="1:9" x14ac:dyDescent="0.25">
      <c r="A178" t="s">
        <v>1099</v>
      </c>
      <c r="B178" t="str">
        <f t="shared" si="2"/>
        <v>[[Ray of Sickness]]</v>
      </c>
      <c r="C178">
        <v>1</v>
      </c>
      <c r="D178" t="s">
        <v>735</v>
      </c>
      <c r="E178" t="s">
        <v>710</v>
      </c>
      <c r="F178" t="s">
        <v>725</v>
      </c>
      <c r="G178" t="s">
        <v>730</v>
      </c>
      <c r="H178" t="s">
        <v>721</v>
      </c>
    </row>
    <row r="179" spans="1:9" x14ac:dyDescent="0.25">
      <c r="A179" t="s">
        <v>953</v>
      </c>
      <c r="B179" t="str">
        <f t="shared" si="2"/>
        <v>[[Remove Curse]]</v>
      </c>
      <c r="C179">
        <v>3</v>
      </c>
      <c r="D179" t="s">
        <v>737</v>
      </c>
      <c r="E179" t="s">
        <v>710</v>
      </c>
      <c r="F179" t="s">
        <v>729</v>
      </c>
      <c r="G179" t="s">
        <v>730</v>
      </c>
      <c r="H179" t="s">
        <v>721</v>
      </c>
    </row>
    <row r="180" spans="1:9" x14ac:dyDescent="0.25">
      <c r="A180" t="s">
        <v>1014</v>
      </c>
      <c r="B180" t="str">
        <f t="shared" si="2"/>
        <v>[[Reverse Gravity]]</v>
      </c>
      <c r="C180">
        <v>7</v>
      </c>
      <c r="D180" t="s">
        <v>718</v>
      </c>
      <c r="E180" t="s">
        <v>710</v>
      </c>
      <c r="F180" t="s">
        <v>786</v>
      </c>
      <c r="G180" t="s">
        <v>720</v>
      </c>
      <c r="H180" t="s">
        <v>713</v>
      </c>
      <c r="I180" t="s">
        <v>722</v>
      </c>
    </row>
    <row r="181" spans="1:9" x14ac:dyDescent="0.25">
      <c r="A181" t="s">
        <v>1146</v>
      </c>
      <c r="B181" t="str">
        <f t="shared" si="2"/>
        <v>[[Rope Trick]]</v>
      </c>
      <c r="C181">
        <v>2</v>
      </c>
      <c r="D181" t="s">
        <v>718</v>
      </c>
      <c r="E181" t="s">
        <v>710</v>
      </c>
      <c r="F181" t="s">
        <v>729</v>
      </c>
      <c r="G181" t="s">
        <v>724</v>
      </c>
      <c r="H181" t="s">
        <v>713</v>
      </c>
    </row>
    <row r="182" spans="1:9" x14ac:dyDescent="0.25">
      <c r="A182" t="s">
        <v>1100</v>
      </c>
      <c r="B182" t="str">
        <f t="shared" si="2"/>
        <v>[[Scorching Ray]]</v>
      </c>
      <c r="C182">
        <v>2</v>
      </c>
      <c r="D182" t="s">
        <v>777</v>
      </c>
      <c r="E182" t="s">
        <v>710</v>
      </c>
      <c r="F182" t="s">
        <v>719</v>
      </c>
      <c r="G182" t="s">
        <v>730</v>
      </c>
      <c r="H182" t="s">
        <v>721</v>
      </c>
    </row>
    <row r="183" spans="1:9" x14ac:dyDescent="0.25">
      <c r="A183" t="s">
        <v>866</v>
      </c>
      <c r="B183" t="str">
        <f t="shared" si="2"/>
        <v>[[Scrying]]</v>
      </c>
      <c r="C183">
        <v>5</v>
      </c>
      <c r="D183" t="s">
        <v>745</v>
      </c>
      <c r="E183" t="s">
        <v>746</v>
      </c>
      <c r="F183" t="s">
        <v>738</v>
      </c>
      <c r="G183" t="s">
        <v>746</v>
      </c>
      <c r="H183" t="s">
        <v>713</v>
      </c>
      <c r="I183" t="s">
        <v>722</v>
      </c>
    </row>
    <row r="184" spans="1:9" x14ac:dyDescent="0.25">
      <c r="A184" t="s">
        <v>867</v>
      </c>
      <c r="B184" t="str">
        <f t="shared" si="2"/>
        <v>[[See Invisibility]]</v>
      </c>
      <c r="C184">
        <v>2</v>
      </c>
      <c r="D184" t="s">
        <v>745</v>
      </c>
      <c r="E184" t="s">
        <v>710</v>
      </c>
      <c r="F184" t="s">
        <v>738</v>
      </c>
      <c r="G184" t="s">
        <v>724</v>
      </c>
      <c r="H184" t="s">
        <v>713</v>
      </c>
    </row>
    <row r="185" spans="1:9" x14ac:dyDescent="0.25">
      <c r="A185" t="s">
        <v>868</v>
      </c>
      <c r="B185" t="str">
        <f t="shared" si="2"/>
        <v>[[Seeming]]</v>
      </c>
      <c r="C185">
        <v>5</v>
      </c>
      <c r="D185" t="s">
        <v>751</v>
      </c>
      <c r="E185" t="s">
        <v>710</v>
      </c>
      <c r="F185" t="s">
        <v>711</v>
      </c>
      <c r="G185" t="s">
        <v>728</v>
      </c>
      <c r="H185" t="s">
        <v>721</v>
      </c>
    </row>
    <row r="186" spans="1:9" x14ac:dyDescent="0.25">
      <c r="A186" t="s">
        <v>869</v>
      </c>
      <c r="B186" t="str">
        <f t="shared" si="2"/>
        <v>[[Sending]]</v>
      </c>
      <c r="C186">
        <v>3</v>
      </c>
      <c r="D186" t="s">
        <v>745</v>
      </c>
      <c r="E186" t="s">
        <v>710</v>
      </c>
      <c r="F186" t="s">
        <v>870</v>
      </c>
      <c r="G186" t="s">
        <v>730</v>
      </c>
      <c r="H186" t="s">
        <v>713</v>
      </c>
    </row>
    <row r="187" spans="1:9" x14ac:dyDescent="0.25">
      <c r="A187" t="s">
        <v>1147</v>
      </c>
      <c r="B187" t="str">
        <f t="shared" si="2"/>
        <v>[[Sequester]]</v>
      </c>
      <c r="C187">
        <v>7</v>
      </c>
      <c r="D187" t="s">
        <v>718</v>
      </c>
      <c r="E187" t="s">
        <v>710</v>
      </c>
      <c r="F187" t="s">
        <v>729</v>
      </c>
      <c r="G187" t="s">
        <v>826</v>
      </c>
      <c r="H187" t="s">
        <v>713</v>
      </c>
    </row>
    <row r="188" spans="1:9" x14ac:dyDescent="0.25">
      <c r="A188" t="s">
        <v>1015</v>
      </c>
      <c r="B188" t="str">
        <f t="shared" si="2"/>
        <v>[[Shapechange]]</v>
      </c>
      <c r="C188">
        <v>9</v>
      </c>
      <c r="D188" t="s">
        <v>718</v>
      </c>
      <c r="E188" t="s">
        <v>710</v>
      </c>
      <c r="F188" t="s">
        <v>738</v>
      </c>
      <c r="G188" t="s">
        <v>724</v>
      </c>
      <c r="H188" t="s">
        <v>713</v>
      </c>
      <c r="I188" t="s">
        <v>722</v>
      </c>
    </row>
    <row r="189" spans="1:9" x14ac:dyDescent="0.25">
      <c r="A189" t="s">
        <v>871</v>
      </c>
      <c r="B189" t="str">
        <f t="shared" si="2"/>
        <v>[[Shatter]]</v>
      </c>
      <c r="C189">
        <v>2</v>
      </c>
      <c r="D189" t="s">
        <v>777</v>
      </c>
      <c r="E189" t="s">
        <v>710</v>
      </c>
      <c r="F189" t="s">
        <v>725</v>
      </c>
      <c r="G189" t="s">
        <v>730</v>
      </c>
      <c r="H189" t="s">
        <v>713</v>
      </c>
    </row>
    <row r="190" spans="1:9" x14ac:dyDescent="0.25">
      <c r="A190" t="s">
        <v>1101</v>
      </c>
      <c r="B190" t="str">
        <f t="shared" si="2"/>
        <v>[[Shield]]</v>
      </c>
      <c r="C190">
        <v>1</v>
      </c>
      <c r="D190" t="s">
        <v>737</v>
      </c>
      <c r="E190" t="s">
        <v>780</v>
      </c>
      <c r="F190" t="s">
        <v>738</v>
      </c>
      <c r="G190" t="s">
        <v>833</v>
      </c>
      <c r="H190" t="s">
        <v>721</v>
      </c>
    </row>
    <row r="191" spans="1:9" x14ac:dyDescent="0.25">
      <c r="A191" t="s">
        <v>1102</v>
      </c>
      <c r="B191" t="str">
        <f t="shared" si="2"/>
        <v>[[Shocking Grasp]]</v>
      </c>
      <c r="C191">
        <v>0</v>
      </c>
      <c r="D191" t="s">
        <v>777</v>
      </c>
      <c r="E191" t="s">
        <v>710</v>
      </c>
      <c r="F191" t="s">
        <v>729</v>
      </c>
      <c r="G191" t="s">
        <v>730</v>
      </c>
      <c r="H191" t="s">
        <v>721</v>
      </c>
    </row>
    <row r="192" spans="1:9" x14ac:dyDescent="0.25">
      <c r="A192" t="s">
        <v>873</v>
      </c>
      <c r="B192" t="str">
        <f t="shared" si="2"/>
        <v>[[Silent Image]]</v>
      </c>
      <c r="C192">
        <v>1</v>
      </c>
      <c r="D192" t="s">
        <v>751</v>
      </c>
      <c r="E192" t="s">
        <v>710</v>
      </c>
      <c r="F192" t="s">
        <v>725</v>
      </c>
      <c r="G192" t="s">
        <v>746</v>
      </c>
      <c r="H192" t="s">
        <v>713</v>
      </c>
      <c r="I192" t="s">
        <v>722</v>
      </c>
    </row>
    <row r="193" spans="1:9" x14ac:dyDescent="0.25">
      <c r="A193" t="s">
        <v>1148</v>
      </c>
      <c r="B193" t="str">
        <f t="shared" ref="B193:B242" si="3">"[["&amp;A193&amp;"]]"</f>
        <v>[[Simulacrum]]</v>
      </c>
      <c r="C193">
        <v>7</v>
      </c>
      <c r="D193" t="s">
        <v>751</v>
      </c>
      <c r="E193" t="s">
        <v>1149</v>
      </c>
      <c r="F193" t="s">
        <v>729</v>
      </c>
      <c r="G193" t="s">
        <v>826</v>
      </c>
      <c r="H193" t="s">
        <v>713</v>
      </c>
    </row>
    <row r="194" spans="1:9" x14ac:dyDescent="0.25">
      <c r="A194" t="s">
        <v>874</v>
      </c>
      <c r="B194" t="str">
        <f t="shared" si="3"/>
        <v>[[Sleep]]</v>
      </c>
      <c r="C194">
        <v>1</v>
      </c>
      <c r="D194" t="s">
        <v>709</v>
      </c>
      <c r="E194" t="s">
        <v>710</v>
      </c>
      <c r="F194" t="s">
        <v>725</v>
      </c>
      <c r="G194" t="s">
        <v>720</v>
      </c>
      <c r="H194" t="s">
        <v>713</v>
      </c>
      <c r="I194" t="s">
        <v>722</v>
      </c>
    </row>
    <row r="195" spans="1:9" x14ac:dyDescent="0.25">
      <c r="A195" t="s">
        <v>1017</v>
      </c>
      <c r="B195" t="str">
        <f t="shared" si="3"/>
        <v>[[Sleet Storm]]</v>
      </c>
      <c r="C195">
        <v>3</v>
      </c>
      <c r="D195" t="s">
        <v>749</v>
      </c>
      <c r="E195" t="s">
        <v>710</v>
      </c>
      <c r="F195" t="s">
        <v>733</v>
      </c>
      <c r="G195" t="s">
        <v>720</v>
      </c>
      <c r="H195" t="s">
        <v>713</v>
      </c>
      <c r="I195" t="s">
        <v>722</v>
      </c>
    </row>
    <row r="196" spans="1:9" x14ac:dyDescent="0.25">
      <c r="A196" t="s">
        <v>875</v>
      </c>
      <c r="B196" t="str">
        <f t="shared" si="3"/>
        <v>[[Slow]]</v>
      </c>
      <c r="C196">
        <v>3</v>
      </c>
      <c r="D196" t="s">
        <v>718</v>
      </c>
      <c r="E196" t="s">
        <v>710</v>
      </c>
      <c r="F196" t="s">
        <v>719</v>
      </c>
      <c r="G196" t="s">
        <v>720</v>
      </c>
      <c r="H196" t="s">
        <v>713</v>
      </c>
      <c r="I196" t="s">
        <v>722</v>
      </c>
    </row>
    <row r="197" spans="1:9" x14ac:dyDescent="0.25">
      <c r="A197" t="s">
        <v>877</v>
      </c>
      <c r="B197" t="str">
        <f t="shared" si="3"/>
        <v>[[Speak with Dead]]</v>
      </c>
      <c r="C197">
        <v>3</v>
      </c>
      <c r="D197" t="s">
        <v>735</v>
      </c>
      <c r="E197" t="s">
        <v>710</v>
      </c>
      <c r="F197" t="s">
        <v>791</v>
      </c>
      <c r="G197" t="s">
        <v>746</v>
      </c>
      <c r="H197" t="s">
        <v>713</v>
      </c>
    </row>
    <row r="198" spans="1:9" x14ac:dyDescent="0.25">
      <c r="A198" t="s">
        <v>1104</v>
      </c>
      <c r="B198" t="str">
        <f t="shared" si="3"/>
        <v>[[Spider Climb]]</v>
      </c>
      <c r="C198">
        <v>2</v>
      </c>
      <c r="D198" t="s">
        <v>718</v>
      </c>
      <c r="E198" t="s">
        <v>710</v>
      </c>
      <c r="F198" t="s">
        <v>729</v>
      </c>
      <c r="G198" t="s">
        <v>724</v>
      </c>
      <c r="H198" t="s">
        <v>713</v>
      </c>
      <c r="I198" t="s">
        <v>722</v>
      </c>
    </row>
    <row r="199" spans="1:9" x14ac:dyDescent="0.25">
      <c r="A199" t="s">
        <v>1057</v>
      </c>
      <c r="B199" t="str">
        <f t="shared" si="3"/>
        <v>[[Steel Wind Strike]]</v>
      </c>
      <c r="C199">
        <v>5</v>
      </c>
      <c r="D199" t="s">
        <v>749</v>
      </c>
      <c r="E199" t="s">
        <v>710</v>
      </c>
      <c r="F199" t="s">
        <v>711</v>
      </c>
      <c r="G199" t="s">
        <v>730</v>
      </c>
      <c r="H199" t="s">
        <v>792</v>
      </c>
    </row>
    <row r="200" spans="1:9" x14ac:dyDescent="0.25">
      <c r="A200" t="s">
        <v>880</v>
      </c>
      <c r="B200" t="str">
        <f t="shared" si="3"/>
        <v>[[Stinking Cloud]]</v>
      </c>
      <c r="C200">
        <v>3</v>
      </c>
      <c r="D200" t="s">
        <v>749</v>
      </c>
      <c r="E200" t="s">
        <v>710</v>
      </c>
      <c r="F200" t="s">
        <v>756</v>
      </c>
      <c r="G200" t="s">
        <v>720</v>
      </c>
      <c r="H200" t="s">
        <v>713</v>
      </c>
      <c r="I200" t="s">
        <v>722</v>
      </c>
    </row>
    <row r="201" spans="1:9" x14ac:dyDescent="0.25">
      <c r="A201" t="s">
        <v>963</v>
      </c>
      <c r="B201" t="str">
        <f t="shared" si="3"/>
        <v>[[Stone Shape]]</v>
      </c>
      <c r="C201">
        <v>4</v>
      </c>
      <c r="D201" t="s">
        <v>718</v>
      </c>
      <c r="E201" t="s">
        <v>710</v>
      </c>
      <c r="F201" t="s">
        <v>729</v>
      </c>
      <c r="G201" t="s">
        <v>730</v>
      </c>
      <c r="H201" t="s">
        <v>713</v>
      </c>
    </row>
    <row r="202" spans="1:9" x14ac:dyDescent="0.25">
      <c r="A202" t="s">
        <v>1019</v>
      </c>
      <c r="B202" t="str">
        <f t="shared" si="3"/>
        <v>[[Stoneskin]]</v>
      </c>
      <c r="C202">
        <v>4</v>
      </c>
      <c r="D202" t="s">
        <v>718</v>
      </c>
      <c r="E202" t="s">
        <v>710</v>
      </c>
      <c r="F202" t="s">
        <v>729</v>
      </c>
      <c r="G202" t="s">
        <v>724</v>
      </c>
      <c r="H202" t="s">
        <v>713</v>
      </c>
      <c r="I202" t="s">
        <v>722</v>
      </c>
    </row>
    <row r="203" spans="1:9" x14ac:dyDescent="0.25">
      <c r="A203" t="s">
        <v>881</v>
      </c>
      <c r="B203" t="str">
        <f t="shared" si="3"/>
        <v>[[Suggestion]]</v>
      </c>
      <c r="C203">
        <v>2</v>
      </c>
      <c r="D203" t="s">
        <v>709</v>
      </c>
      <c r="E203" t="s">
        <v>710</v>
      </c>
      <c r="F203" t="s">
        <v>711</v>
      </c>
      <c r="G203" t="s">
        <v>728</v>
      </c>
      <c r="H203" t="s">
        <v>781</v>
      </c>
      <c r="I203" t="s">
        <v>722</v>
      </c>
    </row>
    <row r="204" spans="1:9" x14ac:dyDescent="0.25">
      <c r="A204" t="s">
        <v>1122</v>
      </c>
      <c r="B204" t="str">
        <f t="shared" si="3"/>
        <v>[[Summon Aberration]]</v>
      </c>
      <c r="C204">
        <v>4</v>
      </c>
      <c r="D204" t="s">
        <v>749</v>
      </c>
      <c r="E204" t="s">
        <v>710</v>
      </c>
      <c r="F204" t="s">
        <v>756</v>
      </c>
      <c r="G204" t="s">
        <v>724</v>
      </c>
      <c r="H204" t="s">
        <v>713</v>
      </c>
      <c r="I204" t="s">
        <v>722</v>
      </c>
    </row>
    <row r="205" spans="1:9" x14ac:dyDescent="0.25">
      <c r="A205" t="s">
        <v>1150</v>
      </c>
      <c r="B205" t="str">
        <f t="shared" si="3"/>
        <v>[[Summon Construct]]</v>
      </c>
      <c r="C205">
        <v>4</v>
      </c>
      <c r="D205" t="s">
        <v>749</v>
      </c>
      <c r="E205" t="s">
        <v>710</v>
      </c>
      <c r="F205" t="s">
        <v>756</v>
      </c>
      <c r="G205" t="s">
        <v>724</v>
      </c>
      <c r="H205" t="s">
        <v>713</v>
      </c>
      <c r="I205" t="s">
        <v>722</v>
      </c>
    </row>
    <row r="206" spans="1:9" x14ac:dyDescent="0.25">
      <c r="A206" t="s">
        <v>1151</v>
      </c>
      <c r="B206" t="str">
        <f t="shared" si="3"/>
        <v>[[Summon Dragon]]</v>
      </c>
      <c r="C206">
        <v>5</v>
      </c>
      <c r="D206" t="s">
        <v>749</v>
      </c>
      <c r="E206" t="s">
        <v>710</v>
      </c>
      <c r="F206" t="s">
        <v>725</v>
      </c>
      <c r="G206" t="s">
        <v>724</v>
      </c>
      <c r="H206" t="s">
        <v>713</v>
      </c>
      <c r="I206" t="s">
        <v>722</v>
      </c>
    </row>
    <row r="207" spans="1:9" x14ac:dyDescent="0.25">
      <c r="A207" t="s">
        <v>1022</v>
      </c>
      <c r="B207" t="str">
        <f t="shared" si="3"/>
        <v>[[Summon Elemental]]</v>
      </c>
      <c r="C207">
        <v>4</v>
      </c>
      <c r="D207" t="s">
        <v>749</v>
      </c>
      <c r="E207" t="s">
        <v>710</v>
      </c>
      <c r="F207" t="s">
        <v>756</v>
      </c>
      <c r="G207" t="s">
        <v>724</v>
      </c>
      <c r="H207" t="s">
        <v>713</v>
      </c>
      <c r="I207" t="s">
        <v>722</v>
      </c>
    </row>
    <row r="208" spans="1:9" x14ac:dyDescent="0.25">
      <c r="A208" t="s">
        <v>1023</v>
      </c>
      <c r="B208" t="str">
        <f t="shared" si="3"/>
        <v>[[Summon Fey]]</v>
      </c>
      <c r="C208">
        <v>3</v>
      </c>
      <c r="D208" t="s">
        <v>749</v>
      </c>
      <c r="E208" t="s">
        <v>710</v>
      </c>
      <c r="F208" t="s">
        <v>756</v>
      </c>
      <c r="G208" t="s">
        <v>724</v>
      </c>
      <c r="H208" t="s">
        <v>713</v>
      </c>
      <c r="I208" t="s">
        <v>722</v>
      </c>
    </row>
    <row r="209" spans="1:10" x14ac:dyDescent="0.25">
      <c r="A209" t="s">
        <v>1123</v>
      </c>
      <c r="B209" t="str">
        <f t="shared" si="3"/>
        <v>[[Summon Fiend]]</v>
      </c>
      <c r="C209">
        <v>6</v>
      </c>
      <c r="D209" t="s">
        <v>749</v>
      </c>
      <c r="E209" t="s">
        <v>710</v>
      </c>
      <c r="F209" t="s">
        <v>756</v>
      </c>
      <c r="G209" t="s">
        <v>724</v>
      </c>
      <c r="H209" t="s">
        <v>713</v>
      </c>
      <c r="I209" t="s">
        <v>722</v>
      </c>
    </row>
    <row r="210" spans="1:10" x14ac:dyDescent="0.25">
      <c r="A210" t="s">
        <v>1124</v>
      </c>
      <c r="B210" t="str">
        <f t="shared" si="3"/>
        <v>[[Summon Undead]]</v>
      </c>
      <c r="C210">
        <v>3</v>
      </c>
      <c r="D210" t="s">
        <v>735</v>
      </c>
      <c r="E210" t="s">
        <v>710</v>
      </c>
      <c r="F210" t="s">
        <v>756</v>
      </c>
      <c r="G210" t="s">
        <v>724</v>
      </c>
      <c r="H210" t="s">
        <v>713</v>
      </c>
      <c r="I210" t="s">
        <v>722</v>
      </c>
    </row>
    <row r="211" spans="1:10" x14ac:dyDescent="0.25">
      <c r="A211" t="s">
        <v>965</v>
      </c>
      <c r="B211" t="str">
        <f t="shared" si="3"/>
        <v>[[Sunbeam]]</v>
      </c>
      <c r="C211">
        <v>6</v>
      </c>
      <c r="D211" t="s">
        <v>777</v>
      </c>
      <c r="E211" t="s">
        <v>710</v>
      </c>
      <c r="F211" t="s">
        <v>738</v>
      </c>
      <c r="G211" t="s">
        <v>720</v>
      </c>
      <c r="H211" t="s">
        <v>713</v>
      </c>
      <c r="I211" t="s">
        <v>722</v>
      </c>
    </row>
    <row r="212" spans="1:10" x14ac:dyDescent="0.25">
      <c r="A212" t="s">
        <v>966</v>
      </c>
      <c r="B212" t="str">
        <f t="shared" si="3"/>
        <v>[[Sunburst]]</v>
      </c>
      <c r="C212">
        <v>8</v>
      </c>
      <c r="D212" t="s">
        <v>777</v>
      </c>
      <c r="E212" t="s">
        <v>710</v>
      </c>
      <c r="F212" t="s">
        <v>733</v>
      </c>
      <c r="G212" t="s">
        <v>730</v>
      </c>
      <c r="H212" t="s">
        <v>713</v>
      </c>
    </row>
    <row r="213" spans="1:10" x14ac:dyDescent="0.25">
      <c r="A213" t="s">
        <v>882</v>
      </c>
      <c r="B213" t="str">
        <f t="shared" si="3"/>
        <v>[[Symbol]]</v>
      </c>
      <c r="C213">
        <v>7</v>
      </c>
      <c r="D213" t="s">
        <v>737</v>
      </c>
      <c r="E213" t="s">
        <v>720</v>
      </c>
      <c r="F213" t="s">
        <v>729</v>
      </c>
      <c r="G213" t="s">
        <v>797</v>
      </c>
      <c r="H213" t="s">
        <v>713</v>
      </c>
    </row>
    <row r="214" spans="1:10" x14ac:dyDescent="0.25">
      <c r="A214" t="s">
        <v>883</v>
      </c>
      <c r="B214" t="str">
        <f t="shared" si="3"/>
        <v>[[Synaptic Static]]</v>
      </c>
      <c r="C214">
        <v>5</v>
      </c>
      <c r="D214" t="s">
        <v>709</v>
      </c>
      <c r="E214" t="s">
        <v>710</v>
      </c>
      <c r="F214" t="s">
        <v>719</v>
      </c>
      <c r="G214" t="s">
        <v>730</v>
      </c>
      <c r="H214" t="s">
        <v>721</v>
      </c>
    </row>
    <row r="215" spans="1:10" x14ac:dyDescent="0.25">
      <c r="A215" t="s">
        <v>1125</v>
      </c>
      <c r="B215" t="str">
        <f t="shared" si="3"/>
        <v>[[Tasha's Bubbling Cauldron]]</v>
      </c>
      <c r="C215">
        <v>6</v>
      </c>
      <c r="D215" t="s">
        <v>749</v>
      </c>
      <c r="E215" t="s">
        <v>710</v>
      </c>
      <c r="F215" t="s">
        <v>974</v>
      </c>
      <c r="G215" t="s">
        <v>746</v>
      </c>
      <c r="H215" t="s">
        <v>713</v>
      </c>
    </row>
    <row r="216" spans="1:10" x14ac:dyDescent="0.25">
      <c r="A216" t="s">
        <v>884</v>
      </c>
      <c r="B216" t="str">
        <f t="shared" si="3"/>
        <v>[[Tasha's Hideous Laughter]]</v>
      </c>
      <c r="C216">
        <v>1</v>
      </c>
      <c r="D216" t="s">
        <v>709</v>
      </c>
      <c r="E216" t="s">
        <v>710</v>
      </c>
      <c r="F216" t="s">
        <v>711</v>
      </c>
      <c r="G216" t="s">
        <v>720</v>
      </c>
      <c r="H216" t="s">
        <v>713</v>
      </c>
      <c r="I216" t="s">
        <v>722</v>
      </c>
    </row>
    <row r="217" spans="1:10" x14ac:dyDescent="0.25">
      <c r="A217" t="s">
        <v>1105</v>
      </c>
      <c r="B217" t="str">
        <f t="shared" si="3"/>
        <v>[[Telekinesis]]</v>
      </c>
      <c r="C217">
        <v>5</v>
      </c>
      <c r="D217" t="s">
        <v>718</v>
      </c>
      <c r="E217" t="s">
        <v>710</v>
      </c>
      <c r="F217" t="s">
        <v>725</v>
      </c>
      <c r="G217" t="s">
        <v>746</v>
      </c>
      <c r="H217" t="s">
        <v>721</v>
      </c>
      <c r="I217" t="s">
        <v>722</v>
      </c>
    </row>
    <row r="218" spans="1:10" x14ac:dyDescent="0.25">
      <c r="A218" t="s">
        <v>1152</v>
      </c>
      <c r="B218" t="str">
        <f t="shared" si="3"/>
        <v>[[Telepathy]]</v>
      </c>
      <c r="C218">
        <v>8</v>
      </c>
      <c r="D218" t="s">
        <v>745</v>
      </c>
      <c r="E218" t="s">
        <v>710</v>
      </c>
      <c r="F218" t="s">
        <v>870</v>
      </c>
      <c r="G218" t="s">
        <v>712</v>
      </c>
      <c r="H218" t="s">
        <v>713</v>
      </c>
    </row>
    <row r="219" spans="1:10" x14ac:dyDescent="0.25">
      <c r="A219" t="s">
        <v>885</v>
      </c>
      <c r="B219" t="str">
        <f t="shared" si="3"/>
        <v>[[Teleport]]</v>
      </c>
      <c r="C219">
        <v>7</v>
      </c>
      <c r="D219" t="s">
        <v>749</v>
      </c>
      <c r="E219" t="s">
        <v>710</v>
      </c>
      <c r="F219" t="s">
        <v>791</v>
      </c>
      <c r="G219" t="s">
        <v>730</v>
      </c>
      <c r="H219" t="s">
        <v>740</v>
      </c>
    </row>
    <row r="220" spans="1:10" x14ac:dyDescent="0.25">
      <c r="A220" t="s">
        <v>886</v>
      </c>
      <c r="B220" t="str">
        <f t="shared" si="3"/>
        <v>[[Teleportation Circle]]</v>
      </c>
      <c r="C220">
        <v>5</v>
      </c>
      <c r="D220" t="s">
        <v>749</v>
      </c>
      <c r="E220" t="s">
        <v>720</v>
      </c>
      <c r="F220" t="s">
        <v>791</v>
      </c>
      <c r="G220" t="s">
        <v>833</v>
      </c>
      <c r="H220" t="s">
        <v>781</v>
      </c>
    </row>
    <row r="221" spans="1:10" x14ac:dyDescent="0.25">
      <c r="A221" t="s">
        <v>1153</v>
      </c>
      <c r="B221" t="str">
        <f t="shared" si="3"/>
        <v>[[Tenser's Floating Disk]]</v>
      </c>
      <c r="C221">
        <v>1</v>
      </c>
      <c r="D221" t="s">
        <v>749</v>
      </c>
      <c r="E221" t="s">
        <v>715</v>
      </c>
      <c r="F221" t="s">
        <v>711</v>
      </c>
      <c r="G221" t="s">
        <v>724</v>
      </c>
      <c r="H221" t="s">
        <v>713</v>
      </c>
      <c r="J221" t="s">
        <v>716</v>
      </c>
    </row>
    <row r="222" spans="1:10" x14ac:dyDescent="0.25">
      <c r="A222" t="s">
        <v>887</v>
      </c>
      <c r="B222" t="str">
        <f t="shared" si="3"/>
        <v>[[Thunderclap]]</v>
      </c>
      <c r="C222">
        <v>0</v>
      </c>
      <c r="D222" t="s">
        <v>777</v>
      </c>
      <c r="E222" t="s">
        <v>710</v>
      </c>
      <c r="F222" t="s">
        <v>738</v>
      </c>
      <c r="G222" t="s">
        <v>730</v>
      </c>
      <c r="H222" t="s">
        <v>840</v>
      </c>
    </row>
    <row r="223" spans="1:10" x14ac:dyDescent="0.25">
      <c r="A223" t="s">
        <v>888</v>
      </c>
      <c r="B223" t="str">
        <f t="shared" si="3"/>
        <v>[[Thunderwave]]</v>
      </c>
      <c r="C223">
        <v>1</v>
      </c>
      <c r="D223" t="s">
        <v>777</v>
      </c>
      <c r="E223" t="s">
        <v>710</v>
      </c>
      <c r="F223" t="s">
        <v>738</v>
      </c>
      <c r="G223" t="s">
        <v>730</v>
      </c>
      <c r="H223" t="s">
        <v>721</v>
      </c>
    </row>
    <row r="224" spans="1:10" x14ac:dyDescent="0.25">
      <c r="A224" t="s">
        <v>1106</v>
      </c>
      <c r="B224" t="str">
        <f t="shared" si="3"/>
        <v>[[Time Stop]]</v>
      </c>
      <c r="C224">
        <v>9</v>
      </c>
      <c r="D224" t="s">
        <v>718</v>
      </c>
      <c r="E224" t="s">
        <v>710</v>
      </c>
      <c r="F224" t="s">
        <v>738</v>
      </c>
      <c r="G224" t="s">
        <v>730</v>
      </c>
      <c r="H224" t="s">
        <v>740</v>
      </c>
    </row>
    <row r="225" spans="1:10" x14ac:dyDescent="0.25">
      <c r="A225" t="s">
        <v>968</v>
      </c>
      <c r="B225" t="str">
        <f t="shared" si="3"/>
        <v>[[Toll the Dead]]</v>
      </c>
      <c r="C225">
        <v>0</v>
      </c>
      <c r="D225" t="s">
        <v>735</v>
      </c>
      <c r="E225" t="s">
        <v>710</v>
      </c>
      <c r="F225" t="s">
        <v>725</v>
      </c>
      <c r="G225" t="s">
        <v>730</v>
      </c>
      <c r="H225" t="s">
        <v>721</v>
      </c>
    </row>
    <row r="226" spans="1:10" x14ac:dyDescent="0.25">
      <c r="A226" t="s">
        <v>889</v>
      </c>
      <c r="B226" t="str">
        <f t="shared" si="3"/>
        <v>[[Tongues]]</v>
      </c>
      <c r="C226">
        <v>3</v>
      </c>
      <c r="D226" t="s">
        <v>745</v>
      </c>
      <c r="E226" t="s">
        <v>710</v>
      </c>
      <c r="F226" t="s">
        <v>729</v>
      </c>
      <c r="G226" t="s">
        <v>724</v>
      </c>
      <c r="H226" t="s">
        <v>781</v>
      </c>
    </row>
    <row r="227" spans="1:10" x14ac:dyDescent="0.25">
      <c r="A227" t="s">
        <v>890</v>
      </c>
      <c r="B227" t="str">
        <f t="shared" si="3"/>
        <v>[[True Polymorph]]</v>
      </c>
      <c r="C227">
        <v>9</v>
      </c>
      <c r="D227" t="s">
        <v>718</v>
      </c>
      <c r="E227" t="s">
        <v>710</v>
      </c>
      <c r="F227" t="s">
        <v>711</v>
      </c>
      <c r="G227" t="s">
        <v>724</v>
      </c>
      <c r="H227" t="s">
        <v>713</v>
      </c>
      <c r="I227" t="s">
        <v>722</v>
      </c>
    </row>
    <row r="228" spans="1:10" x14ac:dyDescent="0.25">
      <c r="A228" t="s">
        <v>891</v>
      </c>
      <c r="B228" t="str">
        <f t="shared" si="3"/>
        <v>[[True Seeing]]</v>
      </c>
      <c r="C228">
        <v>6</v>
      </c>
      <c r="D228" t="s">
        <v>745</v>
      </c>
      <c r="E228" t="s">
        <v>710</v>
      </c>
      <c r="F228" t="s">
        <v>729</v>
      </c>
      <c r="G228" t="s">
        <v>724</v>
      </c>
      <c r="H228" t="s">
        <v>713</v>
      </c>
    </row>
    <row r="229" spans="1:10" x14ac:dyDescent="0.25">
      <c r="A229" t="s">
        <v>892</v>
      </c>
      <c r="B229" t="str">
        <f t="shared" si="3"/>
        <v>[[True Strike]]</v>
      </c>
      <c r="C229">
        <v>0</v>
      </c>
      <c r="D229" t="s">
        <v>745</v>
      </c>
      <c r="E229" t="s">
        <v>710</v>
      </c>
      <c r="F229" t="s">
        <v>738</v>
      </c>
      <c r="G229" t="s">
        <v>730</v>
      </c>
      <c r="H229" t="s">
        <v>792</v>
      </c>
    </row>
    <row r="230" spans="1:10" x14ac:dyDescent="0.25">
      <c r="A230" t="s">
        <v>893</v>
      </c>
      <c r="B230" t="str">
        <f t="shared" si="3"/>
        <v>[[Unseen Servant]]</v>
      </c>
      <c r="C230">
        <v>1</v>
      </c>
      <c r="D230" t="s">
        <v>749</v>
      </c>
      <c r="E230" t="s">
        <v>715</v>
      </c>
      <c r="F230" t="s">
        <v>725</v>
      </c>
      <c r="G230" t="s">
        <v>724</v>
      </c>
      <c r="H230" t="s">
        <v>713</v>
      </c>
      <c r="J230" t="s">
        <v>716</v>
      </c>
    </row>
    <row r="231" spans="1:10" x14ac:dyDescent="0.25">
      <c r="A231" t="s">
        <v>1107</v>
      </c>
      <c r="B231" t="str">
        <f t="shared" si="3"/>
        <v>[[Vampiric Touch]]</v>
      </c>
      <c r="C231">
        <v>3</v>
      </c>
      <c r="D231" t="s">
        <v>735</v>
      </c>
      <c r="E231" t="s">
        <v>710</v>
      </c>
      <c r="F231" t="s">
        <v>738</v>
      </c>
      <c r="G231" t="s">
        <v>720</v>
      </c>
      <c r="H231" t="s">
        <v>721</v>
      </c>
      <c r="I231" t="s">
        <v>722</v>
      </c>
    </row>
    <row r="232" spans="1:10" x14ac:dyDescent="0.25">
      <c r="A232" t="s">
        <v>1108</v>
      </c>
      <c r="B232" t="str">
        <f t="shared" si="3"/>
        <v>[[Vitriolic Sphere]]</v>
      </c>
      <c r="C232">
        <v>4</v>
      </c>
      <c r="D232" t="s">
        <v>777</v>
      </c>
      <c r="E232" t="s">
        <v>710</v>
      </c>
      <c r="F232" t="s">
        <v>733</v>
      </c>
      <c r="G232" t="s">
        <v>730</v>
      </c>
      <c r="H232" t="s">
        <v>713</v>
      </c>
    </row>
    <row r="233" spans="1:10" x14ac:dyDescent="0.25">
      <c r="A233" t="s">
        <v>1029</v>
      </c>
      <c r="B233" t="str">
        <f t="shared" si="3"/>
        <v>[[Wall of Fire]]</v>
      </c>
      <c r="C233">
        <v>4</v>
      </c>
      <c r="D233" t="s">
        <v>777</v>
      </c>
      <c r="E233" t="s">
        <v>710</v>
      </c>
      <c r="F233" t="s">
        <v>719</v>
      </c>
      <c r="G233" t="s">
        <v>720</v>
      </c>
      <c r="H233" t="s">
        <v>713</v>
      </c>
      <c r="I233" t="s">
        <v>722</v>
      </c>
    </row>
    <row r="234" spans="1:10" x14ac:dyDescent="0.25">
      <c r="A234" t="s">
        <v>1154</v>
      </c>
      <c r="B234" t="str">
        <f t="shared" si="3"/>
        <v>[[Wall of Force]]</v>
      </c>
      <c r="C234">
        <v>5</v>
      </c>
      <c r="D234" t="s">
        <v>777</v>
      </c>
      <c r="E234" t="s">
        <v>710</v>
      </c>
      <c r="F234" t="s">
        <v>719</v>
      </c>
      <c r="G234" t="s">
        <v>746</v>
      </c>
      <c r="H234" t="s">
        <v>713</v>
      </c>
      <c r="I234" t="s">
        <v>722</v>
      </c>
    </row>
    <row r="235" spans="1:10" x14ac:dyDescent="0.25">
      <c r="A235" t="s">
        <v>1155</v>
      </c>
      <c r="B235" t="str">
        <f t="shared" si="3"/>
        <v>[[Wall of Ice]]</v>
      </c>
      <c r="C235">
        <v>6</v>
      </c>
      <c r="D235" t="s">
        <v>777</v>
      </c>
      <c r="E235" t="s">
        <v>710</v>
      </c>
      <c r="F235" t="s">
        <v>719</v>
      </c>
      <c r="G235" t="s">
        <v>746</v>
      </c>
      <c r="H235" t="s">
        <v>713</v>
      </c>
      <c r="I235" t="s">
        <v>722</v>
      </c>
    </row>
    <row r="236" spans="1:10" x14ac:dyDescent="0.25">
      <c r="A236" t="s">
        <v>1030</v>
      </c>
      <c r="B236" t="str">
        <f t="shared" si="3"/>
        <v>[[Wall of Stone]]</v>
      </c>
      <c r="C236">
        <v>5</v>
      </c>
      <c r="D236" t="s">
        <v>777</v>
      </c>
      <c r="E236" t="s">
        <v>710</v>
      </c>
      <c r="F236" t="s">
        <v>719</v>
      </c>
      <c r="G236" t="s">
        <v>746</v>
      </c>
      <c r="H236" t="s">
        <v>713</v>
      </c>
      <c r="I236" t="s">
        <v>722</v>
      </c>
    </row>
    <row r="237" spans="1:10" x14ac:dyDescent="0.25">
      <c r="A237" t="s">
        <v>1032</v>
      </c>
      <c r="B237" t="str">
        <f t="shared" si="3"/>
        <v>[[Water Breathing]]</v>
      </c>
      <c r="C237">
        <v>3</v>
      </c>
      <c r="D237" t="s">
        <v>718</v>
      </c>
      <c r="E237" t="s">
        <v>715</v>
      </c>
      <c r="F237" t="s">
        <v>711</v>
      </c>
      <c r="G237" t="s">
        <v>712</v>
      </c>
      <c r="H237" t="s">
        <v>713</v>
      </c>
      <c r="J237" t="s">
        <v>716</v>
      </c>
    </row>
    <row r="238" spans="1:10" x14ac:dyDescent="0.25">
      <c r="A238" t="s">
        <v>1109</v>
      </c>
      <c r="B238" t="str">
        <f t="shared" si="3"/>
        <v>[[Web]]</v>
      </c>
      <c r="C238">
        <v>2</v>
      </c>
      <c r="D238" t="s">
        <v>749</v>
      </c>
      <c r="E238" t="s">
        <v>710</v>
      </c>
      <c r="F238" t="s">
        <v>725</v>
      </c>
      <c r="G238" t="s">
        <v>724</v>
      </c>
      <c r="H238" t="s">
        <v>713</v>
      </c>
      <c r="I238" t="s">
        <v>722</v>
      </c>
    </row>
    <row r="239" spans="1:10" x14ac:dyDescent="0.25">
      <c r="A239" t="s">
        <v>1126</v>
      </c>
      <c r="B239" t="str">
        <f t="shared" si="3"/>
        <v>[[Weird]]</v>
      </c>
      <c r="C239">
        <v>9</v>
      </c>
      <c r="D239" t="s">
        <v>751</v>
      </c>
      <c r="E239" t="s">
        <v>710</v>
      </c>
      <c r="F239" t="s">
        <v>719</v>
      </c>
      <c r="G239" t="s">
        <v>720</v>
      </c>
      <c r="H239" t="s">
        <v>721</v>
      </c>
      <c r="I239" t="s">
        <v>722</v>
      </c>
    </row>
    <row r="240" spans="1:10" x14ac:dyDescent="0.25">
      <c r="A240" t="s">
        <v>1110</v>
      </c>
      <c r="B240" t="str">
        <f t="shared" si="3"/>
        <v>[[Wish]]</v>
      </c>
      <c r="C240">
        <v>9</v>
      </c>
      <c r="D240" t="s">
        <v>749</v>
      </c>
      <c r="E240" t="s">
        <v>710</v>
      </c>
      <c r="F240" t="s">
        <v>738</v>
      </c>
      <c r="G240" t="s">
        <v>730</v>
      </c>
      <c r="H240" t="s">
        <v>740</v>
      </c>
    </row>
    <row r="241" spans="1:9" x14ac:dyDescent="0.25">
      <c r="A241" t="s">
        <v>1111</v>
      </c>
      <c r="B241" t="str">
        <f t="shared" si="3"/>
        <v>[[Witch Bolt]]</v>
      </c>
      <c r="C241">
        <v>1</v>
      </c>
      <c r="D241" t="s">
        <v>777</v>
      </c>
      <c r="E241" t="s">
        <v>710</v>
      </c>
      <c r="F241" t="s">
        <v>725</v>
      </c>
      <c r="G241" t="s">
        <v>720</v>
      </c>
      <c r="H241" t="s">
        <v>713</v>
      </c>
      <c r="I241" t="s">
        <v>722</v>
      </c>
    </row>
    <row r="242" spans="1:9" x14ac:dyDescent="0.25">
      <c r="A242" t="s">
        <v>895</v>
      </c>
      <c r="B242" t="str">
        <f t="shared" si="3"/>
        <v>[[Yolande's Regal Presence]]</v>
      </c>
      <c r="C242">
        <v>5</v>
      </c>
      <c r="D242" t="s">
        <v>709</v>
      </c>
      <c r="E242" t="s">
        <v>710</v>
      </c>
      <c r="F242" t="s">
        <v>738</v>
      </c>
      <c r="G242" t="s">
        <v>720</v>
      </c>
      <c r="H242" t="s">
        <v>713</v>
      </c>
      <c r="I242" t="s">
        <v>722</v>
      </c>
    </row>
  </sheetData>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CSV Export</vt:lpstr>
      <vt:lpstr>Cleaning steps</vt:lpstr>
      <vt:lpstr>Pass 2</vt:lpstr>
      <vt:lpstr>Pass 1</vt:lpstr>
      <vt:lpstr>Bard Spells</vt:lpstr>
      <vt:lpstr>Cleric Spells</vt:lpstr>
      <vt:lpstr>Druid Spells</vt:lpstr>
      <vt:lpstr>Paladin Spells</vt:lpstr>
      <vt:lpstr>Ranger Spells</vt:lpstr>
      <vt:lpstr>Sorcerer Spells</vt:lpstr>
      <vt:lpstr>Warlock Spells</vt:lpstr>
      <vt:lpstr>Wizard Spells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2025-03-13T00:42:26Z</dcterms:created>
  <dcterms:modified xsi:type="dcterms:W3CDTF">2025-03-13T00:52:32Z</dcterms:modified>
</cp:coreProperties>
</file>